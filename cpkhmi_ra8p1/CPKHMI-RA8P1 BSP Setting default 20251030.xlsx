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3700054\Desktop\"/>
    </mc:Choice>
  </mc:AlternateContent>
  <xr:revisionPtr revIDLastSave="0" documentId="13_ncr:1_{5827ECDB-7960-4E7D-8A2F-E05C1FDAA027}" xr6:coauthVersionLast="47" xr6:coauthVersionMax="47" xr10:uidLastSave="{00000000-0000-0000-0000-000000000000}"/>
  <bookViews>
    <workbookView xWindow="-28920" yWindow="2985" windowWidth="29040" windowHeight="15720" xr2:uid="{B7B53DAF-7052-4C32-90A0-1332BC24271F}"/>
  </bookViews>
  <sheets>
    <sheet name="CPKHMI-RA8P1_BSP" sheetId="1" r:id="rId1"/>
  </sheets>
  <definedNames>
    <definedName name="_xlnm._FilterDatabase" localSheetId="0" hidden="1">'CPKHMI-RA8P1_BSP'!$A$20:$CB$235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1" l="1"/>
  <c r="S19" i="1"/>
  <c r="R19" i="1"/>
  <c r="D19" i="1"/>
  <c r="C19" i="1"/>
  <c r="B19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Craig Wu</author>
  </authors>
  <commentList>
    <comment ref="J53" authorId="0" shapeId="0" xr:uid="{AC61E09A-B540-4023-8C22-A74722B132F4}">
      <text>
        <r>
          <rPr>
            <sz val="9"/>
            <color indexed="81"/>
            <rFont val="Tahoma"/>
            <family val="2"/>
          </rPr>
          <t>设置为NMI中断管脚时，无需进行端口寄存器相关的设定</t>
        </r>
      </text>
    </comment>
    <comment ref="J54" authorId="0" shapeId="0" xr:uid="{49ABE87A-B54D-4F99-BB1C-5D03B3914C28}">
      <text>
        <r>
          <rPr>
            <sz val="9"/>
            <color indexed="81"/>
            <rFont val="Tahoma"/>
            <family val="2"/>
          </rPr>
          <t>RESET时缺省设置片内上拉，用于判断是否进入SCI/USB Boot模式。
运行时可以作为按键中断输入</t>
        </r>
      </text>
    </comment>
    <comment ref="J61" authorId="0" shapeId="0" xr:uid="{32DC797F-A177-45FE-A83F-59D24F1CE9B6}">
      <text>
        <r>
          <rPr>
            <sz val="9"/>
            <color indexed="81"/>
            <rFont val="Tahoma"/>
            <family val="2"/>
          </rPr>
          <t>RESET后缺省设置为TDI，输入上拉。
注意修改设置</t>
        </r>
      </text>
    </comment>
    <comment ref="J62" authorId="0" shapeId="0" xr:uid="{D888B791-61F0-45CC-B309-76EECCAC5F9D}">
      <text>
        <r>
          <rPr>
            <sz val="9"/>
            <color indexed="81"/>
            <rFont val="Tahoma"/>
            <family val="2"/>
          </rPr>
          <t>RESET后缺省设置为TDO，驱动能力HH。
注意修改设置</t>
        </r>
      </text>
    </comment>
    <comment ref="J63" authorId="0" shapeId="0" xr:uid="{C9D9996A-A89D-4344-B73C-3A4F8A93B8FF}">
      <text>
        <r>
          <rPr>
            <sz val="9"/>
            <color indexed="81"/>
            <rFont val="Tahoma"/>
            <family val="2"/>
          </rPr>
          <t>RESET后的缺省设置
就是SWDIO，驱动能力HH，输入上拉。</t>
        </r>
      </text>
    </comment>
    <comment ref="J64" authorId="0" shapeId="0" xr:uid="{8DB978A5-C8C8-4513-82E1-4BB4976DEA29}">
      <text>
        <r>
          <rPr>
            <sz val="9"/>
            <color indexed="81"/>
            <rFont val="Tahoma"/>
            <family val="2"/>
          </rPr>
          <t>RESET后的缺省设置
就是SWCLK，输入上拉。</t>
        </r>
      </text>
    </comment>
    <comment ref="J65" authorId="0" shapeId="0" xr:uid="{94768394-C78F-4319-97F3-F41CE462D761}">
      <text>
        <r>
          <rPr>
            <sz val="9"/>
            <color indexed="81"/>
            <rFont val="Tahoma"/>
            <family val="2"/>
          </rPr>
          <t xml:space="preserve">RESET后缺省为P212，手动启动主时钟(MOSCCR.MOSTP=0)，即自动设定为EXTAL时钟输入脚。
</t>
        </r>
      </text>
    </comment>
    <comment ref="J66" authorId="0" shapeId="0" xr:uid="{4A502959-FBAB-4A79-82C4-E5491274D677}">
      <text>
        <r>
          <rPr>
            <sz val="9"/>
            <color indexed="81"/>
            <rFont val="Tahoma"/>
            <family val="2"/>
          </rPr>
          <t>RESET后缺省为P213，设定振荡器输入（MOMCR.MOSEL=0，缺省）并手动启动主时钟(MOSCCR.MOSTP=0)，即自动设定为XTAL时钟脚。</t>
        </r>
      </text>
    </comment>
    <comment ref="J67" authorId="0" shapeId="0" xr:uid="{5D3724B2-BECB-4004-926C-115864C762E1}">
      <text>
        <r>
          <rPr>
            <sz val="9"/>
            <color indexed="81"/>
            <rFont val="Tahoma"/>
            <family val="2"/>
          </rPr>
          <t>RESET后缺省为P214，设定振荡器输入（SOMCR.SOSEL=0，缺省）并手动启动副时钟(SOSCCR.SOSTP=0)，即自动设定为XCOUT时钟脚。</t>
        </r>
      </text>
    </comment>
    <comment ref="J68" authorId="0" shapeId="0" xr:uid="{CFC3FF56-BED5-452D-AF7F-CDC1828BE4A5}">
      <text>
        <r>
          <rPr>
            <sz val="9"/>
            <color indexed="81"/>
            <rFont val="Tahoma"/>
            <family val="2"/>
          </rPr>
          <t xml:space="preserve">RESET后缺省为P215，手动启动副时钟(SOSCCR.SOSTP=0)，即自动设定为XCIN时钟输入脚。
</t>
        </r>
      </text>
    </comment>
    <comment ref="J71" authorId="0" shapeId="0" xr:uid="{699EA738-CE48-4C14-A121-3FF7AD154ECC}">
      <text>
        <r>
          <rPr>
            <sz val="9"/>
            <color indexed="81"/>
            <rFont val="Tahoma"/>
            <family val="2"/>
          </rPr>
          <t>SDRAM数据线
硬件手册AC电特性测试条件为驱动能力: High Drive</t>
        </r>
      </text>
    </comment>
    <comment ref="J131" authorId="0" shapeId="0" xr:uid="{93115407-8D9D-436A-85D3-0A6DD779A675}">
      <text>
        <r>
          <rPr>
            <sz val="9"/>
            <color indexed="81"/>
            <rFont val="Tahoma"/>
            <family val="2"/>
          </rPr>
          <t xml:space="preserve">SDRAM地址线
硬件手册AC电特性测试条件为驱动能力: High Drive
</t>
        </r>
      </text>
    </comment>
    <comment ref="J163" authorId="0" shapeId="0" xr:uid="{B3E4B18D-7046-4A51-99C8-4775ACD8174B}">
      <text>
        <r>
          <rPr>
            <sz val="9"/>
            <color indexed="81"/>
            <rFont val="Tahoma"/>
            <family val="2"/>
          </rPr>
          <t>复位后缺省值为
外设功能USB_DP
如需作为GPIO功能，请注意修改。</t>
        </r>
      </text>
    </comment>
    <comment ref="J164" authorId="0" shapeId="0" xr:uid="{599D41DA-321E-4CB0-AAEC-9CA9144A8787}">
      <text>
        <r>
          <rPr>
            <sz val="9"/>
            <color indexed="81"/>
            <rFont val="Tahoma"/>
            <family val="2"/>
          </rPr>
          <t>复位后缺省值为
外设功能USB_DM
如需作为GPIO功能，请注意修改。</t>
        </r>
      </text>
    </comment>
    <comment ref="J190" authorId="0" shapeId="0" xr:uid="{ED5B5FC5-A1B2-4410-9F91-3349A21CC14B}">
      <text>
        <r>
          <rPr>
            <sz val="9"/>
            <color indexed="81"/>
            <rFont val="Tahoma"/>
            <family val="2"/>
          </rPr>
          <t xml:space="preserve">SDRAM控制线
硬件手册AC电特性测试条件为驱动能力: High Drive
</t>
        </r>
      </text>
    </comment>
    <comment ref="J196" authorId="0" shapeId="0" xr:uid="{3E9E7FF7-0F38-48F0-8644-B4737D0E7525}">
      <text>
        <r>
          <rPr>
            <sz val="9"/>
            <color indexed="81"/>
            <rFont val="Tahoma"/>
            <family val="2"/>
          </rPr>
          <t xml:space="preserve">SDCLK
硬件手册AC电特性测试条件为驱动能力: High-speed High Drive
</t>
        </r>
      </text>
    </comment>
  </commentList>
</comments>
</file>

<file path=xl/sharedStrings.xml><?xml version="1.0" encoding="utf-8"?>
<sst xmlns="http://schemas.openxmlformats.org/spreadsheetml/2006/main" count="3837" uniqueCount="1820">
  <si>
    <t>VCC/2 &gt;=2.7V, set LVO0E/1E bit to 0.</t>
  </si>
  <si>
    <t>最少使用管脚</t>
  </si>
  <si>
    <t>核心板</t>
  </si>
  <si>
    <t>扩展板</t>
  </si>
  <si>
    <t>Default:</t>
  </si>
  <si>
    <t>Pxxx</t>
  </si>
  <si>
    <t>Input</t>
  </si>
  <si>
    <t>No</t>
  </si>
  <si>
    <t>Low</t>
  </si>
  <si>
    <t>L</t>
  </si>
  <si>
    <t>Non-T2: -7 MIPI: -9</t>
  </si>
  <si>
    <t>All</t>
  </si>
  <si>
    <t>P1/D2/M2</t>
  </si>
  <si>
    <t>P1K/P1B/D2K/D2B</t>
  </si>
  <si>
    <t>P1/D2</t>
  </si>
  <si>
    <t>T2L/T2C</t>
  </si>
  <si>
    <t>T2</t>
  </si>
  <si>
    <t>J1</t>
  </si>
  <si>
    <t>J2</t>
  </si>
  <si>
    <t>J3</t>
  </si>
  <si>
    <t>CPKHMI-RA8P1</t>
  </si>
  <si>
    <t>N/A</t>
  </si>
  <si>
    <t>端口
功能配置
核心板</t>
  </si>
  <si>
    <t>端口
功能配置
扩展板</t>
  </si>
  <si>
    <t>GPIO端口
方向</t>
  </si>
  <si>
    <t>输入
上拉</t>
  </si>
  <si>
    <t>初始
输出
电平</t>
  </si>
  <si>
    <t>输出
开漏</t>
  </si>
  <si>
    <t>输出
驱动
能力</t>
  </si>
  <si>
    <t>Remark</t>
  </si>
  <si>
    <t>RSV</t>
  </si>
  <si>
    <t>Power Domain</t>
  </si>
  <si>
    <r>
      <rPr>
        <sz val="8"/>
        <color theme="1"/>
        <rFont val="Calibri"/>
        <family val="2"/>
        <scheme val="minor"/>
      </rPr>
      <t xml:space="preserve">* 5V Tolerant
^ Input Only
</t>
    </r>
    <r>
      <rPr>
        <sz val="11"/>
        <color theme="1"/>
        <rFont val="Calibri"/>
        <family val="2"/>
        <scheme val="minor"/>
      </rPr>
      <t>GPIO</t>
    </r>
  </si>
  <si>
    <t>SDRAM Bus_16bit</t>
  </si>
  <si>
    <t>SDRAM Bus_32bit</t>
  </si>
  <si>
    <t>USB-HS(P/D/M)</t>
  </si>
  <si>
    <t>MIPI(P/D-MIPI)</t>
  </si>
  <si>
    <t>GLCDC_565(P/D)</t>
  </si>
  <si>
    <t>GLCDC_888(P/D)</t>
  </si>
  <si>
    <t>CEU_8bit(P/D/M)</t>
  </si>
  <si>
    <t>CEU_16bit(P/D/M)</t>
  </si>
  <si>
    <t>PDMIF(P/D/M)</t>
  </si>
  <si>
    <t xml:space="preserve">USB-FS </t>
  </si>
  <si>
    <t>EtherC MII</t>
  </si>
  <si>
    <t>EtherC GMII</t>
  </si>
  <si>
    <t>EtherC RMII</t>
  </si>
  <si>
    <t>EtherC RGMII</t>
  </si>
  <si>
    <t>PTP</t>
  </si>
  <si>
    <t>EtherCAT(T)</t>
  </si>
  <si>
    <t>DSMIF(T)</t>
  </si>
  <si>
    <t>CAN-FD</t>
  </si>
  <si>
    <t>UART</t>
  </si>
  <si>
    <t>UART with Flow Control</t>
  </si>
  <si>
    <t>Clock Sync. Mode</t>
  </si>
  <si>
    <t>Clock Sync. Mode with FC</t>
  </si>
  <si>
    <t>RS485</t>
  </si>
  <si>
    <t>Simple LIN</t>
  </si>
  <si>
    <t>Simple SPI</t>
  </si>
  <si>
    <t>Simple I2C</t>
  </si>
  <si>
    <t>I2C</t>
  </si>
  <si>
    <t>I3C</t>
  </si>
  <si>
    <t>SPI</t>
  </si>
  <si>
    <t>OSPI</t>
  </si>
  <si>
    <t>SDHI/MMC</t>
  </si>
  <si>
    <t>SSIE(P/D/M)</t>
  </si>
  <si>
    <t>GPT Trigger</t>
  </si>
  <si>
    <t>GPT Motor</t>
  </si>
  <si>
    <t>GPT IO</t>
  </si>
  <si>
    <t>AGT</t>
  </si>
  <si>
    <t>ULPT</t>
  </si>
  <si>
    <t>RTC</t>
  </si>
  <si>
    <t>ADC16</t>
  </si>
  <si>
    <t>ACMPHS</t>
  </si>
  <si>
    <t>DAC12</t>
  </si>
  <si>
    <t>IRQ</t>
  </si>
  <si>
    <t>IRQ-DS</t>
  </si>
  <si>
    <t>System</t>
  </si>
  <si>
    <t>Debug</t>
  </si>
  <si>
    <t>Ext. Multipled Bus_8bit</t>
  </si>
  <si>
    <t>Ext. Multipled Bus_16bit</t>
  </si>
  <si>
    <t>Ext. Bus_8bit</t>
  </si>
  <si>
    <t>Ext. Bus_16bit</t>
  </si>
  <si>
    <t>Ext. Bus_32bit</t>
  </si>
  <si>
    <t>Reserved1</t>
  </si>
  <si>
    <t>Reserved2</t>
  </si>
  <si>
    <t>Reserved3</t>
  </si>
  <si>
    <t>Reserved4</t>
  </si>
  <si>
    <t>Reserved5</t>
  </si>
  <si>
    <t>Note
-1: new
0: Only GPIO compatible
1: Peripheral compatible
2: Key feature compatible
3: Full compatible</t>
  </si>
  <si>
    <t>Default Sequency</t>
  </si>
  <si>
    <t>R12</t>
  </si>
  <si>
    <t>U13</t>
  </si>
  <si>
    <t>AVCC0</t>
  </si>
  <si>
    <t>P000</t>
  </si>
  <si>
    <t>AN000</t>
  </si>
  <si>
    <t>IVCMP2</t>
  </si>
  <si>
    <t>IRQ6-DS</t>
  </si>
  <si>
    <t>N11</t>
  </si>
  <si>
    <t>T13</t>
  </si>
  <si>
    <t>P001</t>
  </si>
  <si>
    <t>AN001</t>
  </si>
  <si>
    <t>IVCMP3</t>
  </si>
  <si>
    <t>IRQ7-DS</t>
  </si>
  <si>
    <t>P11</t>
  </si>
  <si>
    <t>U14</t>
  </si>
  <si>
    <t>P002</t>
  </si>
  <si>
    <t>AN002</t>
  </si>
  <si>
    <t>IRQ8-DS</t>
  </si>
  <si>
    <t>P12</t>
  </si>
  <si>
    <t>P003</t>
  </si>
  <si>
    <t>AN003</t>
  </si>
  <si>
    <t>IRQ29</t>
  </si>
  <si>
    <t>R11</t>
  </si>
  <si>
    <t>T11</t>
  </si>
  <si>
    <t>P004</t>
  </si>
  <si>
    <t>AN004</t>
  </si>
  <si>
    <t>IRQ9-DS</t>
  </si>
  <si>
    <t>N10</t>
  </si>
  <si>
    <t>P005</t>
  </si>
  <si>
    <t>AN005</t>
  </si>
  <si>
    <t>IRQ10-DS</t>
  </si>
  <si>
    <t>P10</t>
  </si>
  <si>
    <t>U12</t>
  </si>
  <si>
    <t>P006</t>
  </si>
  <si>
    <t>AN006</t>
  </si>
  <si>
    <t>IRQ11-DS</t>
  </si>
  <si>
    <t>M9</t>
  </si>
  <si>
    <t>T12</t>
  </si>
  <si>
    <t>P007</t>
  </si>
  <si>
    <t>AN007</t>
  </si>
  <si>
    <t>IRQ28</t>
  </si>
  <si>
    <t>R10</t>
  </si>
  <si>
    <t>U11</t>
  </si>
  <si>
    <t>P008</t>
  </si>
  <si>
    <t>AN008</t>
  </si>
  <si>
    <t>IVREF0</t>
  </si>
  <si>
    <t>IRQ12-DS</t>
  </si>
  <si>
    <t>M8</t>
  </si>
  <si>
    <t>P009</t>
  </si>
  <si>
    <t>AN009</t>
  </si>
  <si>
    <t>IVREF1</t>
  </si>
  <si>
    <t>IRQ13-DS</t>
  </si>
  <si>
    <t>P010</t>
  </si>
  <si>
    <t>AN010</t>
  </si>
  <si>
    <t>IRQ14</t>
  </si>
  <si>
    <t>P011</t>
  </si>
  <si>
    <t>AN011</t>
  </si>
  <si>
    <t>IRQ16</t>
  </si>
  <si>
    <t>MIPI FPC LCD_BL</t>
  </si>
  <si>
    <t>P012</t>
  </si>
  <si>
    <t>Output</t>
  </si>
  <si>
    <t>P9</t>
  </si>
  <si>
    <t>AN012</t>
  </si>
  <si>
    <t>IRQ15</t>
  </si>
  <si>
    <t>MIPI FPC TP_RST</t>
  </si>
  <si>
    <t>P013</t>
  </si>
  <si>
    <t>N9</t>
  </si>
  <si>
    <t>AN013</t>
  </si>
  <si>
    <t>R7</t>
  </si>
  <si>
    <t>T8</t>
  </si>
  <si>
    <t>P014</t>
  </si>
  <si>
    <t>AN014</t>
  </si>
  <si>
    <t>IVCMP0</t>
  </si>
  <si>
    <t>DA0</t>
  </si>
  <si>
    <t>IRQ27</t>
  </si>
  <si>
    <t>P7</t>
  </si>
  <si>
    <t>U8</t>
  </si>
  <si>
    <t>P015</t>
  </si>
  <si>
    <t>AN015</t>
  </si>
  <si>
    <t>DA1</t>
  </si>
  <si>
    <t>IRQ13</t>
  </si>
  <si>
    <t>OSPI Mem IO0/DI</t>
  </si>
  <si>
    <t>OM_0_SIO0</t>
  </si>
  <si>
    <t>HH</t>
  </si>
  <si>
    <t>R6</t>
  </si>
  <si>
    <t>U6</t>
  </si>
  <si>
    <t>VCC2</t>
  </si>
  <si>
    <t>P100</t>
  </si>
  <si>
    <t>GPTP_MATCH1</t>
  </si>
  <si>
    <t>CATI2CDATA</t>
  </si>
  <si>
    <t>DSM0CLK2</t>
  </si>
  <si>
    <t>SCK9_A</t>
  </si>
  <si>
    <t>DE9</t>
  </si>
  <si>
    <t>MISOB_A</t>
  </si>
  <si>
    <t>GTETRGA</t>
  </si>
  <si>
    <t>GTIOC8B</t>
  </si>
  <si>
    <t>AGTIO0</t>
  </si>
  <si>
    <t>IRQ2</t>
  </si>
  <si>
    <t>OSPI Mem IO3/HOLD#</t>
  </si>
  <si>
    <t>OM_0_SIO3</t>
  </si>
  <si>
    <t>N5</t>
  </si>
  <si>
    <t>R5</t>
  </si>
  <si>
    <t>P101</t>
  </si>
  <si>
    <t>GPTP_CAPTURE1</t>
  </si>
  <si>
    <t>CATI2CCLK</t>
  </si>
  <si>
    <t>DSM0CLK1</t>
  </si>
  <si>
    <t>RXD9_A</t>
  </si>
  <si>
    <t>MISO9_A</t>
  </si>
  <si>
    <t>SCL9_A</t>
  </si>
  <si>
    <t>MOSIB_A</t>
  </si>
  <si>
    <t>GTETRGB</t>
  </si>
  <si>
    <t>GTIOC8A</t>
  </si>
  <si>
    <t>AGTEE0</t>
  </si>
  <si>
    <t>IRQ1</t>
  </si>
  <si>
    <t>M5</t>
  </si>
  <si>
    <t>P5</t>
  </si>
  <si>
    <t>P102</t>
  </si>
  <si>
    <t>DSM0CLK0</t>
  </si>
  <si>
    <t>CRX0</t>
  </si>
  <si>
    <t>TXD9_A</t>
  </si>
  <si>
    <t>MOSI9_A</t>
  </si>
  <si>
    <t>SDA9_A</t>
  </si>
  <si>
    <t>RSPCKB_A</t>
  </si>
  <si>
    <t>OM_0_SIO4</t>
  </si>
  <si>
    <t>GTOWLO</t>
  </si>
  <si>
    <t>GTIOC2B</t>
  </si>
  <si>
    <t>AGTO0</t>
  </si>
  <si>
    <t>ADTRG0</t>
  </si>
  <si>
    <t>IRQ17</t>
  </si>
  <si>
    <t>OSPI Mem IO2/WP#</t>
  </si>
  <si>
    <t>OM_0_SIO2</t>
  </si>
  <si>
    <t>N4</t>
  </si>
  <si>
    <t>R4</t>
  </si>
  <si>
    <t>P103</t>
  </si>
  <si>
    <t>GPTP_PPS0</t>
  </si>
  <si>
    <t>CATLATCH1</t>
  </si>
  <si>
    <t>DSM0DAT2</t>
  </si>
  <si>
    <t>CTX0</t>
  </si>
  <si>
    <t>CTS_RTS9_A</t>
  </si>
  <si>
    <t>SS9_A</t>
  </si>
  <si>
    <t>SSLB0_A</t>
  </si>
  <si>
    <t>GTOWUP</t>
  </si>
  <si>
    <t>GTIOC2A</t>
  </si>
  <si>
    <t>AD1FLAG1</t>
  </si>
  <si>
    <t>L6</t>
  </si>
  <si>
    <t>M6</t>
  </si>
  <si>
    <t>P104</t>
  </si>
  <si>
    <t>GPTP_MATCH0</t>
  </si>
  <si>
    <t>CATLATCH0</t>
  </si>
  <si>
    <t>DSM0DAT1</t>
  </si>
  <si>
    <t>CTS9_A</t>
  </si>
  <si>
    <t>SSLB1_A</t>
  </si>
  <si>
    <t>OM_0_CS1</t>
  </si>
  <si>
    <t>GTIOC1B</t>
  </si>
  <si>
    <t>AD0FLAG1</t>
  </si>
  <si>
    <t>L7</t>
  </si>
  <si>
    <t>N7</t>
  </si>
  <si>
    <t>P105</t>
  </si>
  <si>
    <t>GPTP_CAPTURE0</t>
  </si>
  <si>
    <t>CATSYNC1</t>
  </si>
  <si>
    <t>DSM0DAT0</t>
  </si>
  <si>
    <t>CTS_RTS8_B</t>
  </si>
  <si>
    <t>DE8</t>
  </si>
  <si>
    <t>SS8_B</t>
  </si>
  <si>
    <t>SSLB2_A</t>
  </si>
  <si>
    <t>OM_0_ECSINT1</t>
  </si>
  <si>
    <t>GTIOC1A</t>
  </si>
  <si>
    <t>ULPTO1-DS</t>
  </si>
  <si>
    <t>ADSYNC</t>
  </si>
  <si>
    <t>IRQ0</t>
  </si>
  <si>
    <t>L5</t>
  </si>
  <si>
    <t>N6</t>
  </si>
  <si>
    <t>P106</t>
  </si>
  <si>
    <t>ET1_LINKSTA</t>
  </si>
  <si>
    <t>CAT1_LINKSTA</t>
  </si>
  <si>
    <t>CTS8_B</t>
  </si>
  <si>
    <t>SSLB3_A</t>
  </si>
  <si>
    <t>OM_0_RESET</t>
  </si>
  <si>
    <t>AGTOB0</t>
  </si>
  <si>
    <t>ULPTEE1-DS</t>
  </si>
  <si>
    <t>ADST1</t>
  </si>
  <si>
    <t>OSPI Mem CS#</t>
  </si>
  <si>
    <t>OM_0_CS0</t>
  </si>
  <si>
    <t>M</t>
  </si>
  <si>
    <t>L4</t>
  </si>
  <si>
    <t>P107</t>
  </si>
  <si>
    <t>ET1_INT</t>
  </si>
  <si>
    <t>CTS4_A</t>
  </si>
  <si>
    <t>AGTOA0</t>
  </si>
  <si>
    <t>ADST0</t>
  </si>
  <si>
    <t>IRQ31</t>
  </si>
  <si>
    <t>FUSB303B INT_N</t>
  </si>
  <si>
    <t>IRQ24</t>
  </si>
  <si>
    <t>Yes</t>
  </si>
  <si>
    <t>D8</t>
  </si>
  <si>
    <t>VCC</t>
  </si>
  <si>
    <t>P108</t>
  </si>
  <si>
    <t>SD0DAT6_C</t>
  </si>
  <si>
    <t>GTIOC10B</t>
  </si>
  <si>
    <t>D7</t>
  </si>
  <si>
    <t>P109</t>
  </si>
  <si>
    <t>SD0DAT5_C</t>
  </si>
  <si>
    <t>GTIOC10A</t>
  </si>
  <si>
    <t>IRQ23</t>
  </si>
  <si>
    <t>User LED (Green)</t>
  </si>
  <si>
    <t>P110</t>
  </si>
  <si>
    <t>H</t>
  </si>
  <si>
    <t>C8</t>
  </si>
  <si>
    <t>SD0DAT4_C</t>
  </si>
  <si>
    <t>GTIOC9B</t>
  </si>
  <si>
    <t>IRQ20</t>
  </si>
  <si>
    <t>TF Slot DAT3</t>
  </si>
  <si>
    <t>SD0DAT3_C</t>
  </si>
  <si>
    <t>E8</t>
  </si>
  <si>
    <t>P111</t>
  </si>
  <si>
    <t>GTIOC9A</t>
  </si>
  <si>
    <t>IRQ19</t>
  </si>
  <si>
    <t>32b SDRAM DQ03</t>
  </si>
  <si>
    <t>DQ03</t>
  </si>
  <si>
    <t>A4</t>
  </si>
  <si>
    <t>P112</t>
  </si>
  <si>
    <t>LCD_DATA10_A</t>
  </si>
  <si>
    <t>TXD0_A</t>
  </si>
  <si>
    <t>MOSI0_A</t>
  </si>
  <si>
    <t>SDA0_A</t>
  </si>
  <si>
    <t>SSLA2_B</t>
  </si>
  <si>
    <t>SD0DAT4_B</t>
  </si>
  <si>
    <t>SSIBCK0_B</t>
  </si>
  <si>
    <t>GTIOC3B</t>
  </si>
  <si>
    <t>ULPTOB0-DS</t>
  </si>
  <si>
    <t>A03/D03</t>
  </si>
  <si>
    <t>D03</t>
  </si>
  <si>
    <t>32b SDRAM DQ04</t>
  </si>
  <si>
    <t>DQ04</t>
  </si>
  <si>
    <t>B4</t>
  </si>
  <si>
    <t>A2</t>
  </si>
  <si>
    <t>P113</t>
  </si>
  <si>
    <t>LCD_DATA9_A</t>
  </si>
  <si>
    <t>RXD0_A</t>
  </si>
  <si>
    <t>MISO0_A</t>
  </si>
  <si>
    <t>SCL0_A</t>
  </si>
  <si>
    <t>SSLA1_B</t>
  </si>
  <si>
    <t>SD0DAT5_B</t>
  </si>
  <si>
    <t>SSILRCK0_B/SSIFS0_B</t>
  </si>
  <si>
    <t>ULPTOA0-DS</t>
  </si>
  <si>
    <t>A04/D04</t>
  </si>
  <si>
    <t>D04</t>
  </si>
  <si>
    <t>32b SDRAM DQ05</t>
  </si>
  <si>
    <t>DQ05</t>
  </si>
  <si>
    <t>A3</t>
  </si>
  <si>
    <t>B3</t>
  </si>
  <si>
    <t>P114</t>
  </si>
  <si>
    <t>LCD_DATA8_A</t>
  </si>
  <si>
    <t>CST_RTS0_A</t>
  </si>
  <si>
    <t>DE0</t>
  </si>
  <si>
    <t>SS0_A</t>
  </si>
  <si>
    <t>SSLA0_B</t>
  </si>
  <si>
    <t>SD0DAT6_B</t>
  </si>
  <si>
    <t>SSIRXD0_B</t>
  </si>
  <si>
    <t>GTETRGC</t>
  </si>
  <si>
    <t>ADSUNC</t>
  </si>
  <si>
    <t>IRQ30-DS</t>
  </si>
  <si>
    <t>A05/D05</t>
  </si>
  <si>
    <t>D05</t>
  </si>
  <si>
    <t>32b SDRAM DQ06</t>
  </si>
  <si>
    <t>DQ06</t>
  </si>
  <si>
    <t>P115</t>
  </si>
  <si>
    <t>LCD_DATA7_A</t>
  </si>
  <si>
    <t>CTS0_A</t>
  </si>
  <si>
    <t>MOSIA_B</t>
  </si>
  <si>
    <t>SD0DAT7_B</t>
  </si>
  <si>
    <t>SSITXD0_B</t>
  </si>
  <si>
    <t>GTETRGD</t>
  </si>
  <si>
    <t>GTIOC5A</t>
  </si>
  <si>
    <t>IRQ31-DS</t>
  </si>
  <si>
    <t>A06/D06</t>
  </si>
  <si>
    <t>D06</t>
  </si>
  <si>
    <t>NMI with P-up</t>
  </si>
  <si>
    <t>NMI</t>
  </si>
  <si>
    <t>D5</t>
  </si>
  <si>
    <t>C5</t>
  </si>
  <si>
    <t>P200^</t>
  </si>
  <si>
    <t>MD / Key</t>
  </si>
  <si>
    <t>(MD)/IRQ4</t>
  </si>
  <si>
    <t>E6</t>
  </si>
  <si>
    <t>P201</t>
  </si>
  <si>
    <t>IRQ4</t>
  </si>
  <si>
    <t>MD</t>
  </si>
  <si>
    <t>MIPI FPC CL_N</t>
  </si>
  <si>
    <t>MIPI_CL_N</t>
  </si>
  <si>
    <t>R2</t>
  </si>
  <si>
    <t>U2</t>
  </si>
  <si>
    <t>P202/MIPI_CL_N</t>
  </si>
  <si>
    <t>USB_EXICEN</t>
  </si>
  <si>
    <t>CTS_RTS4_A</t>
  </si>
  <si>
    <t>DE4</t>
  </si>
  <si>
    <t>SS4_A</t>
  </si>
  <si>
    <t>MOSIA_A</t>
  </si>
  <si>
    <t>SD1CMD_A</t>
  </si>
  <si>
    <t>GTIOC5B</t>
  </si>
  <si>
    <t>ULPTOB1</t>
  </si>
  <si>
    <t>IRQ3-DS</t>
  </si>
  <si>
    <t>MIPI FPC CL_P</t>
  </si>
  <si>
    <t>MIPI_CL_P</t>
  </si>
  <si>
    <t>P2</t>
  </si>
  <si>
    <t>P203/MIPI_CL_P</t>
  </si>
  <si>
    <t>USB_VBUSEN</t>
  </si>
  <si>
    <t>RXD4_A</t>
  </si>
  <si>
    <t>MISO4_A</t>
  </si>
  <si>
    <t>SCL4_A</t>
  </si>
  <si>
    <t>RSPCKA_A</t>
  </si>
  <si>
    <t>SD1CLK_A</t>
  </si>
  <si>
    <t>ULPTOA1</t>
  </si>
  <si>
    <t>IRQ2-DS</t>
  </si>
  <si>
    <t>MIPI FPC DL0_N</t>
  </si>
  <si>
    <t>MIPI_DL0_N</t>
  </si>
  <si>
    <t>R1</t>
  </si>
  <si>
    <t>U1</t>
  </si>
  <si>
    <t>P204*/MIPI_DL0_N</t>
  </si>
  <si>
    <t>USB_OVRCURB</t>
  </si>
  <si>
    <t>SCK4_A</t>
  </si>
  <si>
    <t>SDA1_B</t>
  </si>
  <si>
    <t>SSLA0_A</t>
  </si>
  <si>
    <t>SD1WP</t>
  </si>
  <si>
    <t>GTIW</t>
  </si>
  <si>
    <t>GTIOC4B</t>
  </si>
  <si>
    <t>AGTIO1</t>
  </si>
  <si>
    <t>IRQ26</t>
  </si>
  <si>
    <t>CACREF</t>
  </si>
  <si>
    <t xml:space="preserve">MIPI FPC DL0_P </t>
  </si>
  <si>
    <t>MIPI_DL0_P</t>
  </si>
  <si>
    <t>P1</t>
  </si>
  <si>
    <t>T1</t>
  </si>
  <si>
    <t>P205*/MIPI_DL0_P</t>
  </si>
  <si>
    <t>USB_OVRCURA</t>
  </si>
  <si>
    <t>TXD4_A</t>
  </si>
  <si>
    <t>MOSI4_A</t>
  </si>
  <si>
    <t>SDA4_A</t>
  </si>
  <si>
    <t>SCL1_B</t>
  </si>
  <si>
    <t>SSLA1_A</t>
  </si>
  <si>
    <t>SD1CD</t>
  </si>
  <si>
    <t>GTIV</t>
  </si>
  <si>
    <t>GTIOC4A</t>
  </si>
  <si>
    <t>AGTO1</t>
  </si>
  <si>
    <t>IRQ1-DS</t>
  </si>
  <si>
    <t>CLKOUT</t>
  </si>
  <si>
    <t>A15</t>
  </si>
  <si>
    <t>B15</t>
  </si>
  <si>
    <t>P206</t>
  </si>
  <si>
    <t>VIO_D00</t>
  </si>
  <si>
    <t>ET1_RX_DV</t>
  </si>
  <si>
    <t>RMII1_CRS_DV</t>
  </si>
  <si>
    <t>RGMII1_RX_CTL</t>
  </si>
  <si>
    <t>CAT1_RX_DV</t>
  </si>
  <si>
    <t>SD0DAT7_C</t>
  </si>
  <si>
    <t>SSIDATA1_A</t>
  </si>
  <si>
    <t>GTIU</t>
  </si>
  <si>
    <t>GTCPPO0</t>
  </si>
  <si>
    <t>IRQ0-DS</t>
  </si>
  <si>
    <t>CS7</t>
  </si>
  <si>
    <t>A17</t>
  </si>
  <si>
    <t>P207</t>
  </si>
  <si>
    <t>LCD_DATA9_B</t>
  </si>
  <si>
    <t>ET1_RXD5</t>
  </si>
  <si>
    <t>GTCPPO3</t>
  </si>
  <si>
    <t>IRQ25</t>
  </si>
  <si>
    <t>JLink TxD (Boot/Comm)</t>
  </si>
  <si>
    <t>RXD9_B</t>
  </si>
  <si>
    <t>D6</t>
  </si>
  <si>
    <t>C7</t>
  </si>
  <si>
    <t>P208</t>
  </si>
  <si>
    <t>CRX1</t>
  </si>
  <si>
    <t>MISO9_B</t>
  </si>
  <si>
    <t>SCL9_B</t>
  </si>
  <si>
    <t>GTOVLO</t>
  </si>
  <si>
    <t>IRQ3</t>
  </si>
  <si>
    <t>VCOUT</t>
  </si>
  <si>
    <t>TDI</t>
  </si>
  <si>
    <t>Jlink RxD (Boot/Comm)</t>
  </si>
  <si>
    <t>TXD9_B</t>
  </si>
  <si>
    <t>E7</t>
  </si>
  <si>
    <t>P209</t>
  </si>
  <si>
    <t>CTX1</t>
  </si>
  <si>
    <t>MOSI9_B</t>
  </si>
  <si>
    <t>SDA9_B</t>
  </si>
  <si>
    <t>GTOVUP</t>
  </si>
  <si>
    <t>TDO/SWO</t>
  </si>
  <si>
    <t>JLink SWDIO</t>
  </si>
  <si>
    <t>SWDIO</t>
  </si>
  <si>
    <t>C6</t>
  </si>
  <si>
    <t>P210</t>
  </si>
  <si>
    <t>CTS_RTS9_B</t>
  </si>
  <si>
    <t>SS9_B</t>
  </si>
  <si>
    <t>GTOULO</t>
  </si>
  <si>
    <t>GTIOC0B</t>
  </si>
  <si>
    <t>TMS/SWDIO</t>
  </si>
  <si>
    <t>JLink SWCLK</t>
  </si>
  <si>
    <t>SWCLK</t>
  </si>
  <si>
    <t>P211</t>
  </si>
  <si>
    <t>SCK9_B</t>
  </si>
  <si>
    <t>GTOUUP</t>
  </si>
  <si>
    <t>GTIOC0A</t>
  </si>
  <si>
    <t>TCK/SWCLK</t>
  </si>
  <si>
    <t xml:space="preserve">EXTAL 24MHz </t>
  </si>
  <si>
    <t>EXTAL</t>
  </si>
  <si>
    <t>J15</t>
  </si>
  <si>
    <t>K17</t>
  </si>
  <si>
    <t>P212</t>
  </si>
  <si>
    <t>RXD1_C</t>
  </si>
  <si>
    <t>MISO1_C</t>
  </si>
  <si>
    <t>SCL1_C</t>
  </si>
  <si>
    <t>AGTEE1</t>
  </si>
  <si>
    <t xml:space="preserve">XTAL 24MHz </t>
  </si>
  <si>
    <t>XTAL</t>
  </si>
  <si>
    <t>J14</t>
  </si>
  <si>
    <t>K16</t>
  </si>
  <si>
    <t>P213</t>
  </si>
  <si>
    <t>TXD1_C</t>
  </si>
  <si>
    <t>MOSI1_C</t>
  </si>
  <si>
    <t>SDA1_C</t>
  </si>
  <si>
    <t>ULPTEE0</t>
  </si>
  <si>
    <t>ADTRG1</t>
  </si>
  <si>
    <t>XCOUT 32768Hz</t>
  </si>
  <si>
    <t>XCOUT</t>
  </si>
  <si>
    <t>K14</t>
  </si>
  <si>
    <t>L16</t>
  </si>
  <si>
    <t>VBATT_R</t>
  </si>
  <si>
    <t>P214^</t>
  </si>
  <si>
    <t>IRQ21</t>
  </si>
  <si>
    <t>XCIN 32768Hz</t>
  </si>
  <si>
    <t>XCIN</t>
  </si>
  <si>
    <t>K15</t>
  </si>
  <si>
    <t>L17</t>
  </si>
  <si>
    <t>P215^</t>
  </si>
  <si>
    <t>(E)XCIN</t>
  </si>
  <si>
    <t>32b SDRAM DQ02</t>
  </si>
  <si>
    <t>DQ02</t>
  </si>
  <si>
    <t>A5</t>
  </si>
  <si>
    <t>B5</t>
  </si>
  <si>
    <t>P300</t>
  </si>
  <si>
    <t>LCD_DATA11_A</t>
  </si>
  <si>
    <t>SCK0_A</t>
  </si>
  <si>
    <t>SSLA3_B</t>
  </si>
  <si>
    <t>SD0DAT3_B</t>
  </si>
  <si>
    <t>GTIOC3A</t>
  </si>
  <si>
    <t>ULPTEVI0-DS</t>
  </si>
  <si>
    <t>A02/D02</t>
  </si>
  <si>
    <t>D02</t>
  </si>
  <si>
    <t>32b SDRAM DQ01</t>
  </si>
  <si>
    <t>DQ01</t>
  </si>
  <si>
    <t>C4</t>
  </si>
  <si>
    <t>P301</t>
  </si>
  <si>
    <t>LCD_DATA12_A</t>
  </si>
  <si>
    <t>TXD6_B</t>
  </si>
  <si>
    <t>MOSI6_B</t>
  </si>
  <si>
    <t>SDA6_B</t>
  </si>
  <si>
    <t>SD0DAT2_B</t>
  </si>
  <si>
    <t>ULPTEE0-DS</t>
  </si>
  <si>
    <t>IRQ6</t>
  </si>
  <si>
    <t>A01/D01</t>
  </si>
  <si>
    <t>D01</t>
  </si>
  <si>
    <t>32b SDRAM DQ00</t>
  </si>
  <si>
    <t>DQ00</t>
  </si>
  <si>
    <t>P302</t>
  </si>
  <si>
    <t>LCD_DATA13_A</t>
  </si>
  <si>
    <t>RXD6_B</t>
  </si>
  <si>
    <t>MISO6_B</t>
  </si>
  <si>
    <t>SCL6_B</t>
  </si>
  <si>
    <t>SD0DAT1_B</t>
  </si>
  <si>
    <t>ULPTO0-DS</t>
  </si>
  <si>
    <t>IRQ5</t>
  </si>
  <si>
    <t>A00/D00</t>
  </si>
  <si>
    <t>D00</t>
  </si>
  <si>
    <t xml:space="preserve">User Key </t>
  </si>
  <si>
    <t>IRQ29-DS</t>
  </si>
  <si>
    <t>B6</t>
  </si>
  <si>
    <t>P303*</t>
  </si>
  <si>
    <t>LCD_DATA14_A</t>
  </si>
  <si>
    <t>SCK6_B</t>
  </si>
  <si>
    <t>DE6</t>
  </si>
  <si>
    <t>GTIOC7B</t>
  </si>
  <si>
    <t>C9</t>
  </si>
  <si>
    <t>D10</t>
  </si>
  <si>
    <t>P304</t>
  </si>
  <si>
    <t>VIO_D15</t>
  </si>
  <si>
    <t>ET1_TXD3</t>
  </si>
  <si>
    <t>RGMII1_TXD3</t>
  </si>
  <si>
    <t>CAT1_ETXD3</t>
  </si>
  <si>
    <t>SD0DAT0_B</t>
  </si>
  <si>
    <t>GTIOC7A</t>
  </si>
  <si>
    <t>ULPTO1</t>
  </si>
  <si>
    <t>IRQ9</t>
  </si>
  <si>
    <t>TDATA3</t>
  </si>
  <si>
    <t>C11</t>
  </si>
  <si>
    <t>C10</t>
  </si>
  <si>
    <t>P305</t>
  </si>
  <si>
    <t>VIO_D14</t>
  </si>
  <si>
    <t>ET1_TXD2</t>
  </si>
  <si>
    <t>RGMII1_TXD2</t>
  </si>
  <si>
    <t>CAT1_ETXD2</t>
  </si>
  <si>
    <t>SD0WP</t>
  </si>
  <si>
    <t>GTCPPO12</t>
  </si>
  <si>
    <t>ULPTEE1</t>
  </si>
  <si>
    <t>IRQ8</t>
  </si>
  <si>
    <t>TDATA2</t>
  </si>
  <si>
    <t>D11</t>
  </si>
  <si>
    <t>P306</t>
  </si>
  <si>
    <t>VIO_D13</t>
  </si>
  <si>
    <t>ET1_TXD1</t>
  </si>
  <si>
    <t>RMII1_TDX1</t>
  </si>
  <si>
    <t>RGMII1_TXD1</t>
  </si>
  <si>
    <t>CAT1_ETXD1</t>
  </si>
  <si>
    <t>SD0CD</t>
  </si>
  <si>
    <t>GTCPPO11</t>
  </si>
  <si>
    <t>ULPTEVI1</t>
  </si>
  <si>
    <t>IRQ28-DS</t>
  </si>
  <si>
    <t>TDATA1</t>
  </si>
  <si>
    <t>C12</t>
  </si>
  <si>
    <t>P307</t>
  </si>
  <si>
    <t>VIO_D12</t>
  </si>
  <si>
    <t>ET1_TXD0</t>
  </si>
  <si>
    <t>RMII1_TXD0</t>
  </si>
  <si>
    <t>RGMII1_TXD0</t>
  </si>
  <si>
    <t>CAT1_ETXD0</t>
  </si>
  <si>
    <t>CTS_RTS6_A</t>
  </si>
  <si>
    <t>SS6_A</t>
  </si>
  <si>
    <t>SD0CMD_B</t>
  </si>
  <si>
    <t>GTCPPO10</t>
  </si>
  <si>
    <t>IRQ27-DS</t>
  </si>
  <si>
    <t>TDATA0</t>
  </si>
  <si>
    <t>P308</t>
  </si>
  <si>
    <t>VIO_D11</t>
  </si>
  <si>
    <t>ET1_TX_ER</t>
  </si>
  <si>
    <t>CTS3_B</t>
  </si>
  <si>
    <t>SD0CLK_B</t>
  </si>
  <si>
    <t>GTCPPO9</t>
  </si>
  <si>
    <t>IRQ26-DS</t>
  </si>
  <si>
    <t>ETHPHYCLK</t>
  </si>
  <si>
    <t>TCLK</t>
  </si>
  <si>
    <t>A11</t>
  </si>
  <si>
    <t>A12</t>
  </si>
  <si>
    <t>P309</t>
  </si>
  <si>
    <t>LCD_DATA15_A</t>
  </si>
  <si>
    <t>VIO_D10</t>
  </si>
  <si>
    <t>ET1_GTX_CLK</t>
  </si>
  <si>
    <t>RGMII1_TXC</t>
  </si>
  <si>
    <t>CTS9_B</t>
  </si>
  <si>
    <t>GTCPPO8</t>
  </si>
  <si>
    <t>IRQ25-DS</t>
  </si>
  <si>
    <t>B12</t>
  </si>
  <si>
    <t>E10</t>
  </si>
  <si>
    <t>P310</t>
  </si>
  <si>
    <t>LCD_DATA16_A</t>
  </si>
  <si>
    <t>VIO_D09</t>
  </si>
  <si>
    <t>ET1_TX_EN</t>
  </si>
  <si>
    <t>RMII1_TX_EN</t>
  </si>
  <si>
    <t>RGMII1_TX_CTL</t>
  </si>
  <si>
    <t>CAT1_TX_EN</t>
  </si>
  <si>
    <t>TXD3_B</t>
  </si>
  <si>
    <t>MOSI3_B</t>
  </si>
  <si>
    <t>SDA3_B</t>
  </si>
  <si>
    <t>GTCPPO7</t>
  </si>
  <si>
    <t>IRQ24-DS</t>
  </si>
  <si>
    <t>B11</t>
  </si>
  <si>
    <t>P311</t>
  </si>
  <si>
    <t>LCD_DATA17_A</t>
  </si>
  <si>
    <t>VIO_D08</t>
  </si>
  <si>
    <t>ET1_TX_CLK</t>
  </si>
  <si>
    <t>CAT1_TX_CLK</t>
  </si>
  <si>
    <t>SCK3_B</t>
  </si>
  <si>
    <t>DE3</t>
  </si>
  <si>
    <t>GTADSM1</t>
  </si>
  <si>
    <t>GTCPPO6</t>
  </si>
  <si>
    <t>AGTOB1</t>
  </si>
  <si>
    <t>IRQ23-DS</t>
  </si>
  <si>
    <t>C13</t>
  </si>
  <si>
    <t>P312</t>
  </si>
  <si>
    <t>LCD_DATA18_A</t>
  </si>
  <si>
    <t>VIO_D07</t>
  </si>
  <si>
    <t>PDMDAT2</t>
  </si>
  <si>
    <t>ET1_RX_ER</t>
  </si>
  <si>
    <t>RMII1_RX_ER</t>
  </si>
  <si>
    <t>CAT1_RX_ER</t>
  </si>
  <si>
    <t>CTS_RTS3_B</t>
  </si>
  <si>
    <t>SS3_B</t>
  </si>
  <si>
    <t>GTADSM0</t>
  </si>
  <si>
    <t>GTCPPO5</t>
  </si>
  <si>
    <t>AGTOA1</t>
  </si>
  <si>
    <t>IRQ22-DS</t>
  </si>
  <si>
    <t>MIPI FPC  DL1_P</t>
  </si>
  <si>
    <t>MIPI_DL1_P</t>
  </si>
  <si>
    <t>P3</t>
  </si>
  <si>
    <t>T3</t>
  </si>
  <si>
    <t>P313/MIPI_DL1_P</t>
  </si>
  <si>
    <t>USB_ID</t>
  </si>
  <si>
    <t>TXD3_C</t>
  </si>
  <si>
    <t>MOSI3_C</t>
  </si>
  <si>
    <t>SDA3_C</t>
  </si>
  <si>
    <t>MIOSA_A</t>
  </si>
  <si>
    <t>SD1DAT0_A</t>
  </si>
  <si>
    <t>MIPI FPC DL1_N</t>
  </si>
  <si>
    <t>MIPI_DL1_N</t>
  </si>
  <si>
    <t>R3</t>
  </si>
  <si>
    <t>U3</t>
  </si>
  <si>
    <t>P314/MIPI_DL1_N</t>
  </si>
  <si>
    <t>RXD3_C</t>
  </si>
  <si>
    <t>MISO3_C</t>
  </si>
  <si>
    <t>SCL3_C</t>
  </si>
  <si>
    <t>SSLA2_A</t>
  </si>
  <si>
    <t>SD1DAT1_A</t>
  </si>
  <si>
    <t>VCC18_MIPI</t>
  </si>
  <si>
    <t>N2</t>
  </si>
  <si>
    <t>P315/VCC18_MIPI</t>
  </si>
  <si>
    <t>SCK3_C</t>
  </si>
  <si>
    <t>SSLA3_A</t>
  </si>
  <si>
    <t>J201:4</t>
  </si>
  <si>
    <t>N15</t>
  </si>
  <si>
    <t>P17</t>
  </si>
  <si>
    <t>P400*</t>
  </si>
  <si>
    <t>TXD1_A</t>
  </si>
  <si>
    <t>MOSI1_A</t>
  </si>
  <si>
    <t>SDA1_A</t>
  </si>
  <si>
    <t>I3C_SCL0</t>
  </si>
  <si>
    <t>SD1CLK_B</t>
  </si>
  <si>
    <t>AUDIO_CLK</t>
  </si>
  <si>
    <t>GTIOC6A</t>
  </si>
  <si>
    <t>J201:3</t>
  </si>
  <si>
    <t>M15</t>
  </si>
  <si>
    <t>N17</t>
  </si>
  <si>
    <t>P401*</t>
  </si>
  <si>
    <t>VIO_D01</t>
  </si>
  <si>
    <t>RXD1_A</t>
  </si>
  <si>
    <t>MISO1_A</t>
  </si>
  <si>
    <t>SCL1_A</t>
  </si>
  <si>
    <t>I3C_SDA0</t>
  </si>
  <si>
    <t>SD1CMD_B</t>
  </si>
  <si>
    <t>GTIOC6B</t>
  </si>
  <si>
    <t>IRQ5-DS</t>
  </si>
  <si>
    <t>J201:2</t>
  </si>
  <si>
    <t>J11</t>
  </si>
  <si>
    <t>L14</t>
  </si>
  <si>
    <t>P402*</t>
  </si>
  <si>
    <t>ET0_LINKSTA</t>
  </si>
  <si>
    <t>CAT0_LINKSTA</t>
  </si>
  <si>
    <t>SCK1_A</t>
  </si>
  <si>
    <t>DE1</t>
  </si>
  <si>
    <t>SD1DAT0_B</t>
  </si>
  <si>
    <t>RTCIC0</t>
  </si>
  <si>
    <t>IRQ4-DS</t>
  </si>
  <si>
    <t>H11</t>
  </si>
  <si>
    <t>H13</t>
  </si>
  <si>
    <t>P403*</t>
  </si>
  <si>
    <t>ET1_WOL</t>
  </si>
  <si>
    <t>CTS_RTS1_A</t>
  </si>
  <si>
    <t>SS1_A</t>
  </si>
  <si>
    <t>SD1DAT1_B</t>
  </si>
  <si>
    <t>SSIBCK0_A</t>
  </si>
  <si>
    <t>RTCIC1</t>
  </si>
  <si>
    <t>IRQ14-DS</t>
  </si>
  <si>
    <t>G11</t>
  </si>
  <si>
    <t>J13</t>
  </si>
  <si>
    <t>P404*</t>
  </si>
  <si>
    <t>ET0_WOL</t>
  </si>
  <si>
    <t>CTS1_A</t>
  </si>
  <si>
    <t>SD1DAT2_B</t>
  </si>
  <si>
    <t>SSILRCK0/SSIFS0_A</t>
  </si>
  <si>
    <t>RTCIC2</t>
  </si>
  <si>
    <t>IRQ15-DS</t>
  </si>
  <si>
    <t>E11</t>
  </si>
  <si>
    <t>G12</t>
  </si>
  <si>
    <t>P405</t>
  </si>
  <si>
    <t>VIO_D02</t>
  </si>
  <si>
    <t>ET0_RX_DV</t>
  </si>
  <si>
    <t>RMII0_CRS_DV</t>
  </si>
  <si>
    <t>RGMII0_RX_CTL</t>
  </si>
  <si>
    <t>CAT0_RX_DV</t>
  </si>
  <si>
    <t>SCK2_B</t>
  </si>
  <si>
    <t>DE2</t>
  </si>
  <si>
    <t>SD1DAT3_B</t>
  </si>
  <si>
    <t>SSITXD0_A</t>
  </si>
  <si>
    <t>IRQ30</t>
  </si>
  <si>
    <t>E14</t>
  </si>
  <si>
    <t>F14</t>
  </si>
  <si>
    <t>P406</t>
  </si>
  <si>
    <t>VIO_D03</t>
  </si>
  <si>
    <t>ET0_RXD3</t>
  </si>
  <si>
    <t>RGMII0_RXD3</t>
  </si>
  <si>
    <t>CAT0_ERXD3</t>
  </si>
  <si>
    <t>TXD2_B</t>
  </si>
  <si>
    <t>MOSI2_B</t>
  </si>
  <si>
    <t>SDA2_B</t>
  </si>
  <si>
    <t>SSLA3_C</t>
  </si>
  <si>
    <t>SSIRXD0_A</t>
  </si>
  <si>
    <t>USB 2.0 Type-C HS_VBUSEN</t>
  </si>
  <si>
    <t>USBHS_VBUSEN</t>
  </si>
  <si>
    <t>K12</t>
  </si>
  <si>
    <t>R17</t>
  </si>
  <si>
    <t>P407*</t>
  </si>
  <si>
    <t>USB_VBUS</t>
  </si>
  <si>
    <t>GPTP_PTPOUT3</t>
  </si>
  <si>
    <t>SCK1_C</t>
  </si>
  <si>
    <t>SDA0_B</t>
  </si>
  <si>
    <t>RTCOUT</t>
  </si>
  <si>
    <t>IRQ22</t>
  </si>
  <si>
    <t>CS6</t>
  </si>
  <si>
    <t>USB 2.0 Type-C HS_VBUS</t>
  </si>
  <si>
    <t>USBHS_VBUS</t>
  </si>
  <si>
    <t>L12</t>
  </si>
  <si>
    <t>P408*</t>
  </si>
  <si>
    <t>GPTP_PTPOUT2</t>
  </si>
  <si>
    <t>CATRESETOUT</t>
  </si>
  <si>
    <t>RXD3_A</t>
  </si>
  <si>
    <t>MISO3_A</t>
  </si>
  <si>
    <t>SCL3_A</t>
  </si>
  <si>
    <t>SCL0_B</t>
  </si>
  <si>
    <t>ULPTOB0</t>
  </si>
  <si>
    <t>IRQ7</t>
  </si>
  <si>
    <t>I2C SDA</t>
  </si>
  <si>
    <t>L10</t>
  </si>
  <si>
    <t>R16</t>
  </si>
  <si>
    <t>P409*</t>
  </si>
  <si>
    <t>USBHS_OVRCURA</t>
  </si>
  <si>
    <t>USB_OVRCURA-DS</t>
  </si>
  <si>
    <t>TXD3_A</t>
  </si>
  <si>
    <t>MOSI3_A</t>
  </si>
  <si>
    <t>SDA3_A</t>
  </si>
  <si>
    <t>ULPTOA0</t>
  </si>
  <si>
    <t>A18</t>
  </si>
  <si>
    <t>I2C SCL</t>
  </si>
  <si>
    <t>K11</t>
  </si>
  <si>
    <t>K13</t>
  </si>
  <si>
    <t>P410*</t>
  </si>
  <si>
    <t>USBHS_OVRCURB</t>
  </si>
  <si>
    <t>USB_OVRCURB-DS</t>
  </si>
  <si>
    <t>SCK3_A</t>
  </si>
  <si>
    <t>A19</t>
  </si>
  <si>
    <t>MIPI FPC DSI_TE</t>
  </si>
  <si>
    <t>DSI_TE</t>
  </si>
  <si>
    <t>M11</t>
  </si>
  <si>
    <t>M14</t>
  </si>
  <si>
    <t>P411*</t>
  </si>
  <si>
    <t>USBHS_ID</t>
  </si>
  <si>
    <t>GPTP_PTPOUT1</t>
  </si>
  <si>
    <t>CTS_RTS3_A</t>
  </si>
  <si>
    <t>SS3_A</t>
  </si>
  <si>
    <t>A20</t>
  </si>
  <si>
    <t>MIPI FPC TP_INT</t>
  </si>
  <si>
    <t>IRQ20_DS</t>
  </si>
  <si>
    <t>M12</t>
  </si>
  <si>
    <t>P412*</t>
  </si>
  <si>
    <t>USBHS_EXICEN</t>
  </si>
  <si>
    <t>GPTP_PTPOUT0</t>
  </si>
  <si>
    <t>CTS3_A</t>
  </si>
  <si>
    <t>IRQ20-DS</t>
  </si>
  <si>
    <t>A21</t>
  </si>
  <si>
    <t>P14</t>
  </si>
  <si>
    <t>P413</t>
  </si>
  <si>
    <t>ET_TAS_STA3</t>
  </si>
  <si>
    <t>IRQ18</t>
  </si>
  <si>
    <t>A22</t>
  </si>
  <si>
    <t>L11</t>
  </si>
  <si>
    <t>L13</t>
  </si>
  <si>
    <t>P414</t>
  </si>
  <si>
    <t>VIO_CLK</t>
  </si>
  <si>
    <t>ET1_MDIO</t>
  </si>
  <si>
    <t>RXD4_B</t>
  </si>
  <si>
    <t>MISO4_B</t>
  </si>
  <si>
    <t>SCL4_B</t>
  </si>
  <si>
    <t>SSLB0_B</t>
  </si>
  <si>
    <t>A23</t>
  </si>
  <si>
    <t>R15</t>
  </si>
  <si>
    <t>P415</t>
  </si>
  <si>
    <t>VIO_HD</t>
  </si>
  <si>
    <t>ET1_MDC</t>
  </si>
  <si>
    <t>TXD4_B</t>
  </si>
  <si>
    <t>MOSI4_B</t>
  </si>
  <si>
    <t>SDA4_B</t>
  </si>
  <si>
    <t>RSPCKB_B</t>
  </si>
  <si>
    <t>WAIT</t>
  </si>
  <si>
    <t>U7</t>
  </si>
  <si>
    <t>P500</t>
  </si>
  <si>
    <t>PDMDAT0</t>
  </si>
  <si>
    <t>RXD8_B</t>
  </si>
  <si>
    <t>MISO8_B</t>
  </si>
  <si>
    <t>SCL8_B</t>
  </si>
  <si>
    <t>SD1DAT5_A</t>
  </si>
  <si>
    <t>GTIOC11B</t>
  </si>
  <si>
    <t>AN021</t>
  </si>
  <si>
    <t>R8</t>
  </si>
  <si>
    <t>P501</t>
  </si>
  <si>
    <t>PDMDAT1</t>
  </si>
  <si>
    <t>TXD8_B</t>
  </si>
  <si>
    <t>MOSI8_B</t>
  </si>
  <si>
    <t>SDA8_B</t>
  </si>
  <si>
    <t>SD1DAT6_A</t>
  </si>
  <si>
    <t>GTIOC12A</t>
  </si>
  <si>
    <t>AN020</t>
  </si>
  <si>
    <t>T7</t>
  </si>
  <si>
    <t>P502</t>
  </si>
  <si>
    <t>SCK8_B</t>
  </si>
  <si>
    <t>SD1DAT7_A</t>
  </si>
  <si>
    <t>GTIOC12B</t>
  </si>
  <si>
    <t>AN019</t>
  </si>
  <si>
    <t>32b SDRAM A4</t>
  </si>
  <si>
    <t>A06</t>
  </si>
  <si>
    <t>H3</t>
  </si>
  <si>
    <t>H2</t>
  </si>
  <si>
    <t>P503</t>
  </si>
  <si>
    <t>VIO_D04</t>
  </si>
  <si>
    <t>32b SDRAM A5</t>
  </si>
  <si>
    <t>A07</t>
  </si>
  <si>
    <t>H1</t>
  </si>
  <si>
    <t>P504</t>
  </si>
  <si>
    <t>GTCPPO1</t>
  </si>
  <si>
    <t>32b SDRAM A6</t>
  </si>
  <si>
    <t>A08</t>
  </si>
  <si>
    <t>H4</t>
  </si>
  <si>
    <t>P505</t>
  </si>
  <si>
    <t>SD0CLK_A</t>
  </si>
  <si>
    <t>GTCPPO2</t>
  </si>
  <si>
    <t>32b SDRAM A7</t>
  </si>
  <si>
    <t>A09</t>
  </si>
  <si>
    <t>P506</t>
  </si>
  <si>
    <t>SD0CMD_A</t>
  </si>
  <si>
    <t>32b SDRAM A8</t>
  </si>
  <si>
    <t>A10</t>
  </si>
  <si>
    <t>P507</t>
  </si>
  <si>
    <t>LCD_EXTCLK_A</t>
  </si>
  <si>
    <t>ET_TAS_STA0</t>
  </si>
  <si>
    <t>CTS_RTS7_A</t>
  </si>
  <si>
    <t>DE7</t>
  </si>
  <si>
    <t>SS7_A</t>
  </si>
  <si>
    <t>IRQ10</t>
  </si>
  <si>
    <t>32b SDRAM A9</t>
  </si>
  <si>
    <t>J4</t>
  </si>
  <si>
    <t>P508</t>
  </si>
  <si>
    <t>VIO_VD</t>
  </si>
  <si>
    <t>ET_TAS_STA1</t>
  </si>
  <si>
    <t>CTS5_A</t>
  </si>
  <si>
    <t>32b SDRAM A10</t>
  </si>
  <si>
    <t>K4</t>
  </si>
  <si>
    <t>P509</t>
  </si>
  <si>
    <t>ET_TAS_STA2</t>
  </si>
  <si>
    <t>CTS_RTS5_A</t>
  </si>
  <si>
    <t>DE5</t>
  </si>
  <si>
    <t>SS5_A</t>
  </si>
  <si>
    <t>32b SDRAM A11</t>
  </si>
  <si>
    <t>A13</t>
  </si>
  <si>
    <t>K3</t>
  </si>
  <si>
    <t>P510</t>
  </si>
  <si>
    <t>RXD5_A</t>
  </si>
  <si>
    <t>MOSI5_A</t>
  </si>
  <si>
    <t>SCL5_A</t>
  </si>
  <si>
    <t>ULPTEVI0</t>
  </si>
  <si>
    <t>R13</t>
  </si>
  <si>
    <t>U15</t>
  </si>
  <si>
    <t>P511*</t>
  </si>
  <si>
    <t>CTS_RTS8_A</t>
  </si>
  <si>
    <t>SS8_A</t>
  </si>
  <si>
    <t>P13</t>
  </si>
  <si>
    <t>P512*</t>
  </si>
  <si>
    <t>CTS8_A</t>
  </si>
  <si>
    <t>P513</t>
  </si>
  <si>
    <t>LCD_TCON3_B</t>
  </si>
  <si>
    <t>VIO_FLD</t>
  </si>
  <si>
    <t>ET0_INT</t>
  </si>
  <si>
    <t>SCK8_A</t>
  </si>
  <si>
    <t>GTIOC13B</t>
  </si>
  <si>
    <t>AN016</t>
  </si>
  <si>
    <t>J202:4</t>
  </si>
  <si>
    <t>R14</t>
  </si>
  <si>
    <t>P514*</t>
  </si>
  <si>
    <t>LCD_EXTCLK_B</t>
  </si>
  <si>
    <t>SCK4_C</t>
  </si>
  <si>
    <t>J202:1</t>
  </si>
  <si>
    <t>P15</t>
  </si>
  <si>
    <t>P515*</t>
  </si>
  <si>
    <t>LCD_CLK_B</t>
  </si>
  <si>
    <t>CTS_RTS4_C</t>
  </si>
  <si>
    <t>SS4_C</t>
  </si>
  <si>
    <t>SCL2_B</t>
  </si>
  <si>
    <t>GTIOC13A</t>
  </si>
  <si>
    <t>IRQ12</t>
  </si>
  <si>
    <t>M3</t>
  </si>
  <si>
    <t>P600</t>
  </si>
  <si>
    <t>OM_0_RSTO1</t>
  </si>
  <si>
    <t>ULPTEVI1-DS</t>
  </si>
  <si>
    <t>M4</t>
  </si>
  <si>
    <t>P4</t>
  </si>
  <si>
    <t>P601</t>
  </si>
  <si>
    <t>SCK0_B</t>
  </si>
  <si>
    <t>OM_0_WP1</t>
  </si>
  <si>
    <t>M2</t>
  </si>
  <si>
    <t>P602</t>
  </si>
  <si>
    <t>RXD0_B</t>
  </si>
  <si>
    <t>MISO0_B</t>
  </si>
  <si>
    <t>OM_1_SCLKN</t>
  </si>
  <si>
    <t>L3</t>
  </si>
  <si>
    <t>P603</t>
  </si>
  <si>
    <t>TXD0_B</t>
  </si>
  <si>
    <t>MOSI0_B</t>
  </si>
  <si>
    <t>OM_1_SCLK</t>
  </si>
  <si>
    <t>ULPTO0</t>
  </si>
  <si>
    <t>L2</t>
  </si>
  <si>
    <t>P604</t>
  </si>
  <si>
    <t>CTS_RTS0_B</t>
  </si>
  <si>
    <t>SS0_B</t>
  </si>
  <si>
    <t>OM_1_SIO7</t>
  </si>
  <si>
    <t>N1</t>
  </si>
  <si>
    <t>P605</t>
  </si>
  <si>
    <t>CTS0_B</t>
  </si>
  <si>
    <t>OM_1_SIO1</t>
  </si>
  <si>
    <t>FUSB303B EN_N</t>
  </si>
  <si>
    <t>P606</t>
  </si>
  <si>
    <t>N3</t>
  </si>
  <si>
    <t>OM_1_SIO6</t>
  </si>
  <si>
    <t>WR3/BC3</t>
  </si>
  <si>
    <t>32b SDRAM DQ31</t>
  </si>
  <si>
    <t>D31</t>
  </si>
  <si>
    <t>P607</t>
  </si>
  <si>
    <t>DQ31</t>
  </si>
  <si>
    <t>OM_1_DQS</t>
  </si>
  <si>
    <t>32b SDRAM BA0</t>
  </si>
  <si>
    <t>A14</t>
  </si>
  <si>
    <t>K2</t>
  </si>
  <si>
    <t>P608</t>
  </si>
  <si>
    <t>TXD5_A</t>
  </si>
  <si>
    <t>SDA5_A</t>
  </si>
  <si>
    <t>GTCPPO4</t>
  </si>
  <si>
    <t>32b SDRAM DQ07</t>
  </si>
  <si>
    <t>D07</t>
  </si>
  <si>
    <t>A1</t>
  </si>
  <si>
    <t>P609</t>
  </si>
  <si>
    <t>DQ07</t>
  </si>
  <si>
    <t>LCD_DATA6_A</t>
  </si>
  <si>
    <t>TXD0_C</t>
  </si>
  <si>
    <t>MOSI0_C</t>
  </si>
  <si>
    <t>SDA0_C</t>
  </si>
  <si>
    <t>MISOA_B</t>
  </si>
  <si>
    <t>ULPTOA1-DS</t>
  </si>
  <si>
    <t>A07/D07</t>
  </si>
  <si>
    <t>32b SDRAM DQ12</t>
  </si>
  <si>
    <t>D12</t>
  </si>
  <si>
    <t>B1</t>
  </si>
  <si>
    <t>D3</t>
  </si>
  <si>
    <t>P610</t>
  </si>
  <si>
    <t>DQ12</t>
  </si>
  <si>
    <t>LCD_DATA5_A</t>
  </si>
  <si>
    <t>RXD0_C</t>
  </si>
  <si>
    <t>MISO0_C</t>
  </si>
  <si>
    <t>SCL0_C</t>
  </si>
  <si>
    <t>RSPCKA_B</t>
  </si>
  <si>
    <t>ULPTOB1-DS</t>
  </si>
  <si>
    <t>A12/D12</t>
  </si>
  <si>
    <t>32b SDRAM DQ13</t>
  </si>
  <si>
    <t>D13</t>
  </si>
  <si>
    <t>C2</t>
  </si>
  <si>
    <t>D2</t>
  </si>
  <si>
    <t>P611</t>
  </si>
  <si>
    <t>DQ13</t>
  </si>
  <si>
    <t>LCD_DATA4_A</t>
  </si>
  <si>
    <t>SCK0_C</t>
  </si>
  <si>
    <t>CLKOUT/CACREF</t>
  </si>
  <si>
    <t>A13/D13</t>
  </si>
  <si>
    <t>32b SDRAM DQ14</t>
  </si>
  <si>
    <t>D14</t>
  </si>
  <si>
    <t>C1</t>
  </si>
  <si>
    <t>E4</t>
  </si>
  <si>
    <t>P612</t>
  </si>
  <si>
    <t>DQ14</t>
  </si>
  <si>
    <t>LCD_DATA3_A</t>
  </si>
  <si>
    <t>CTS_RTS0_C</t>
  </si>
  <si>
    <t>SS0_C</t>
  </si>
  <si>
    <t>A14/D14</t>
  </si>
  <si>
    <t>32b SDRAM DQ15</t>
  </si>
  <si>
    <t>D15</t>
  </si>
  <si>
    <t>P613</t>
  </si>
  <si>
    <t>DQ15</t>
  </si>
  <si>
    <t>LCD_DATA2_A</t>
  </si>
  <si>
    <t>CTS0_C</t>
  </si>
  <si>
    <t>A15/D15</t>
  </si>
  <si>
    <t>32b SDRAM DQM0</t>
  </si>
  <si>
    <t>DQM0</t>
  </si>
  <si>
    <t>E3</t>
  </si>
  <si>
    <t>P614</t>
  </si>
  <si>
    <t>LCD_DATA1_A</t>
  </si>
  <si>
    <t>RXD7_A</t>
  </si>
  <si>
    <t>MISO7_A</t>
  </si>
  <si>
    <t>SCL7_A</t>
  </si>
  <si>
    <t>WR/WR0</t>
  </si>
  <si>
    <t>32b SDRAM DQM2</t>
  </si>
  <si>
    <t>DQM2</t>
  </si>
  <si>
    <t>D1</t>
  </si>
  <si>
    <t>E2</t>
  </si>
  <si>
    <t>P615</t>
  </si>
  <si>
    <t>LCD_DATA0_A</t>
  </si>
  <si>
    <t>TXD7_A</t>
  </si>
  <si>
    <t>MOSI7_A</t>
  </si>
  <si>
    <t>SDA7_A</t>
  </si>
  <si>
    <t>WR2/BC2</t>
  </si>
  <si>
    <t>F11</t>
  </si>
  <si>
    <t>F12</t>
  </si>
  <si>
    <t>P700</t>
  </si>
  <si>
    <t>ET0_RXD2</t>
  </si>
  <si>
    <t>RGMII0_RXD2</t>
  </si>
  <si>
    <t>CAT0_ERXD2</t>
  </si>
  <si>
    <t>RXD2_B</t>
  </si>
  <si>
    <t>MISO2_B</t>
  </si>
  <si>
    <t>MISOA_C</t>
  </si>
  <si>
    <t>SSIDATA1_B</t>
  </si>
  <si>
    <t>IRQ16-DS</t>
  </si>
  <si>
    <t>E15</t>
  </si>
  <si>
    <t>F15</t>
  </si>
  <si>
    <t>P701</t>
  </si>
  <si>
    <t>VIO_D05</t>
  </si>
  <si>
    <t>ET0_RXD1</t>
  </si>
  <si>
    <t>RMII0_RXD1</t>
  </si>
  <si>
    <t>RGMII0_RXD1</t>
  </si>
  <si>
    <t>CAT0_ERXD1</t>
  </si>
  <si>
    <t>CTS_RTS2_B</t>
  </si>
  <si>
    <t>SS2_B</t>
  </si>
  <si>
    <t>MOSIA_C</t>
  </si>
  <si>
    <t>SD1DAT4_B</t>
  </si>
  <si>
    <t>SSILRCK1/SSIFS1_B</t>
  </si>
  <si>
    <t>IRQ17-DS</t>
  </si>
  <si>
    <t>E12</t>
  </si>
  <si>
    <t>F13</t>
  </si>
  <si>
    <t>P702</t>
  </si>
  <si>
    <t>VIO_D06</t>
  </si>
  <si>
    <t>ET0_RXD0</t>
  </si>
  <si>
    <t>RMII0_RXD0</t>
  </si>
  <si>
    <t>RGMII0_RXD0</t>
  </si>
  <si>
    <t>CAT0_ERXD0</t>
  </si>
  <si>
    <t>CTS2_B</t>
  </si>
  <si>
    <t>RSPCKA_C</t>
  </si>
  <si>
    <t>SD1DAT5_B</t>
  </si>
  <si>
    <t>SSIBCK1_B</t>
  </si>
  <si>
    <t>IRQ18-DS</t>
  </si>
  <si>
    <t>G14</t>
  </si>
  <si>
    <t>P703</t>
  </si>
  <si>
    <t>PDMCLK0</t>
  </si>
  <si>
    <t>ET0_RX_CLK</t>
  </si>
  <si>
    <t>RMII0_REF50CK</t>
  </si>
  <si>
    <t>RGMII0_RXC</t>
  </si>
  <si>
    <t>CAT0_RX_CLK</t>
  </si>
  <si>
    <t>DSM1DAT3</t>
  </si>
  <si>
    <t>SSLA0_C</t>
  </si>
  <si>
    <t>SD1DAT6_B</t>
  </si>
  <si>
    <t>IRQ19-DS</t>
  </si>
  <si>
    <t>E13</t>
  </si>
  <si>
    <t>G13</t>
  </si>
  <si>
    <t>P704</t>
  </si>
  <si>
    <t>PDMCLK1</t>
  </si>
  <si>
    <t>ET0_RX_ER</t>
  </si>
  <si>
    <t>RMII0_RX_ER</t>
  </si>
  <si>
    <t>CAT0_RX_ER</t>
  </si>
  <si>
    <t>DSM1DAT4</t>
  </si>
  <si>
    <t>SSLA1_C</t>
  </si>
  <si>
    <t>SD1DAT7_B</t>
  </si>
  <si>
    <t>F17</t>
  </si>
  <si>
    <t>P705</t>
  </si>
  <si>
    <t>PDMCLK2</t>
  </si>
  <si>
    <t>ET0_TX_EN</t>
  </si>
  <si>
    <t>RMII0_TX_EN</t>
  </si>
  <si>
    <t>RGMII0_TX_CTL</t>
  </si>
  <si>
    <t>CAT0_TX_EN</t>
  </si>
  <si>
    <t>DSM1DAT5</t>
  </si>
  <si>
    <t>CTS1_B</t>
  </si>
  <si>
    <t>SSLA2_C</t>
  </si>
  <si>
    <t>E17</t>
  </si>
  <si>
    <t>P706</t>
  </si>
  <si>
    <t>USBHS_OVERCURB-DS</t>
  </si>
  <si>
    <t>ET0_GTX_CLK</t>
  </si>
  <si>
    <t>RGMII0_TXC</t>
  </si>
  <si>
    <t>DSM1CLK0</t>
  </si>
  <si>
    <t>RXD1_B</t>
  </si>
  <si>
    <t>MISO1_B</t>
  </si>
  <si>
    <t>F16</t>
  </si>
  <si>
    <t>P707</t>
  </si>
  <si>
    <t>USBHS_OVERCURA-DS</t>
  </si>
  <si>
    <t>LCD_DATA18_B</t>
  </si>
  <si>
    <t>ET0_TX_ER</t>
  </si>
  <si>
    <t>DSM1CLK1</t>
  </si>
  <si>
    <t>TXD1_B</t>
  </si>
  <si>
    <t>MOSI1_B</t>
  </si>
  <si>
    <t>M10</t>
  </si>
  <si>
    <t>N12</t>
  </si>
  <si>
    <t>P708*</t>
  </si>
  <si>
    <t>ET0_MDC</t>
  </si>
  <si>
    <t>CAT0_MDC</t>
  </si>
  <si>
    <t>SCK4_B</t>
  </si>
  <si>
    <t>SDA2_A</t>
  </si>
  <si>
    <t>MOSIB_B</t>
  </si>
  <si>
    <t>IRQ11</t>
  </si>
  <si>
    <t>WR1/BC1</t>
  </si>
  <si>
    <t>M13</t>
  </si>
  <si>
    <t>P16</t>
  </si>
  <si>
    <t>P709*</t>
  </si>
  <si>
    <t>ET0_MDIO</t>
  </si>
  <si>
    <t>CAT0_MDIO</t>
  </si>
  <si>
    <t>CTS_RTS4_B</t>
  </si>
  <si>
    <t>SS4_B</t>
  </si>
  <si>
    <t>SCL2_A</t>
  </si>
  <si>
    <t>MISOB_B</t>
  </si>
  <si>
    <t>CS4</t>
  </si>
  <si>
    <t>P710*</t>
  </si>
  <si>
    <t>CTS4_B</t>
  </si>
  <si>
    <t>SSLB3_B</t>
  </si>
  <si>
    <t>CS5</t>
  </si>
  <si>
    <t>P711*</t>
  </si>
  <si>
    <t>LCD_DATA19_B</t>
  </si>
  <si>
    <t>CTS_RTS1_C</t>
  </si>
  <si>
    <t>SS1_C</t>
  </si>
  <si>
    <t>SSLB2_B</t>
  </si>
  <si>
    <t>GTIOC11A</t>
  </si>
  <si>
    <t>N13</t>
  </si>
  <si>
    <t>P712*</t>
  </si>
  <si>
    <t>LCD_DATA20_B</t>
  </si>
  <si>
    <t>CTS1_C</t>
  </si>
  <si>
    <t>SSLB1_B</t>
  </si>
  <si>
    <t>N14</t>
  </si>
  <si>
    <t>N16</t>
  </si>
  <si>
    <t>P713*</t>
  </si>
  <si>
    <t>LCD_DATA21_B</t>
  </si>
  <si>
    <t>CTS4_C</t>
  </si>
  <si>
    <t>J202:2</t>
  </si>
  <si>
    <t>P714*</t>
  </si>
  <si>
    <t>LCD_DATA22_B</t>
  </si>
  <si>
    <t>GPTP_PPS1</t>
  </si>
  <si>
    <t>TXD4_C</t>
  </si>
  <si>
    <t>MOSI4_C</t>
  </si>
  <si>
    <t>SDA4_C</t>
  </si>
  <si>
    <t>J202:3</t>
  </si>
  <si>
    <t>T15</t>
  </si>
  <si>
    <t>P715*</t>
  </si>
  <si>
    <t>LCD_DATA23_B</t>
  </si>
  <si>
    <t>RXD4_C</t>
  </si>
  <si>
    <t>MISO4_C</t>
  </si>
  <si>
    <t>SCL4_C</t>
  </si>
  <si>
    <t>P6</t>
  </si>
  <si>
    <t>T6</t>
  </si>
  <si>
    <t>P800</t>
  </si>
  <si>
    <t>DSM1DAT0</t>
  </si>
  <si>
    <t>CTS2_A</t>
  </si>
  <si>
    <t>OM_0_SIO5</t>
  </si>
  <si>
    <t>P801</t>
  </si>
  <si>
    <t>DSM1DAT1</t>
  </si>
  <si>
    <t>TXD2_A</t>
  </si>
  <si>
    <t>MOSI2_A</t>
  </si>
  <si>
    <t>OM_0_DQS</t>
  </si>
  <si>
    <t>P802</t>
  </si>
  <si>
    <t>DSM1DAT2</t>
  </si>
  <si>
    <t>RXD2_A</t>
  </si>
  <si>
    <t>MISO2_A</t>
  </si>
  <si>
    <t>OM_0_SIO6</t>
  </si>
  <si>
    <t>OSPI Mem IO1/DO</t>
  </si>
  <si>
    <t>OM_0_SIO1</t>
  </si>
  <si>
    <t>M7</t>
  </si>
  <si>
    <t>P803</t>
  </si>
  <si>
    <t>SCK2_A</t>
  </si>
  <si>
    <t>P804</t>
  </si>
  <si>
    <t>CTS_RTS2_A</t>
  </si>
  <si>
    <t>SS2_A</t>
  </si>
  <si>
    <t>OM_0_SIO7</t>
  </si>
  <si>
    <t>P805</t>
  </si>
  <si>
    <t>LCD_TCON1_B</t>
  </si>
  <si>
    <t>TXD8_A</t>
  </si>
  <si>
    <t>MOSI8_A</t>
  </si>
  <si>
    <t>SDA8_A</t>
  </si>
  <si>
    <t>AN017</t>
  </si>
  <si>
    <t>T14</t>
  </si>
  <si>
    <t>P806</t>
  </si>
  <si>
    <t>LCD_TCON0_B</t>
  </si>
  <si>
    <t>RXD8_A</t>
  </si>
  <si>
    <t>MISO8_A</t>
  </si>
  <si>
    <t>SCL8_A</t>
  </si>
  <si>
    <t>AN018</t>
  </si>
  <si>
    <t>P807</t>
  </si>
  <si>
    <t>LCD_TCON2_B</t>
  </si>
  <si>
    <t>OSPI Mem CLK</t>
  </si>
  <si>
    <t>OM_0_SCLK</t>
  </si>
  <si>
    <t>U5</t>
  </si>
  <si>
    <t>P808</t>
  </si>
  <si>
    <t>DSM1CLK2</t>
  </si>
  <si>
    <t>RXD7_B</t>
  </si>
  <si>
    <t>MISO7_B</t>
  </si>
  <si>
    <t>SCL7_B</t>
  </si>
  <si>
    <t>T5</t>
  </si>
  <si>
    <t>P809</t>
  </si>
  <si>
    <t>TXD7_B</t>
  </si>
  <si>
    <t>MOSI7_B</t>
  </si>
  <si>
    <t>SDA7_B</t>
  </si>
  <si>
    <t>OM_0_SCLKN</t>
  </si>
  <si>
    <t>P810</t>
  </si>
  <si>
    <t>SCK7_B</t>
  </si>
  <si>
    <t>SD1DAT2_A</t>
  </si>
  <si>
    <t>N8</t>
  </si>
  <si>
    <t>P811</t>
  </si>
  <si>
    <t>CTS7_B</t>
  </si>
  <si>
    <t>SD1DAT3_A</t>
  </si>
  <si>
    <t>P8</t>
  </si>
  <si>
    <t>P812</t>
  </si>
  <si>
    <t>CTS_RTS7_B</t>
  </si>
  <si>
    <t>SS7_B</t>
  </si>
  <si>
    <t>SD1DAT4_A</t>
  </si>
  <si>
    <t>AN022</t>
  </si>
  <si>
    <t>32b SDRAM CS#</t>
  </si>
  <si>
    <t>SDCS</t>
  </si>
  <si>
    <t>P813</t>
  </si>
  <si>
    <t>SCK7_A</t>
  </si>
  <si>
    <t>USB_DP</t>
  </si>
  <si>
    <t>U16</t>
  </si>
  <si>
    <t>VCC_USB</t>
  </si>
  <si>
    <t>P814</t>
  </si>
  <si>
    <t>USB_DM</t>
  </si>
  <si>
    <t>T16</t>
  </si>
  <si>
    <t>P815</t>
  </si>
  <si>
    <t>VSS_MIPI</t>
  </si>
  <si>
    <t>P900</t>
  </si>
  <si>
    <t>CTS3_C</t>
  </si>
  <si>
    <t>AVCC_MIPI</t>
  </si>
  <si>
    <t>T4</t>
  </si>
  <si>
    <t>P901</t>
  </si>
  <si>
    <t>CTS_RTS3_C</t>
  </si>
  <si>
    <t>SS3_C</t>
  </si>
  <si>
    <t>D9</t>
  </si>
  <si>
    <t>E9</t>
  </si>
  <si>
    <t>P902</t>
  </si>
  <si>
    <t>LCD_DATA3_B</t>
  </si>
  <si>
    <t>CTCPPO13</t>
  </si>
  <si>
    <t>ALE</t>
  </si>
  <si>
    <t>P903</t>
  </si>
  <si>
    <t>LCD_DATA2_B</t>
  </si>
  <si>
    <t>A16</t>
  </si>
  <si>
    <t>P904</t>
  </si>
  <si>
    <t>LCD_DATA8_B</t>
  </si>
  <si>
    <t>ET1_RXD4</t>
  </si>
  <si>
    <t>P905</t>
  </si>
  <si>
    <t>LCD_DATA19_A</t>
  </si>
  <si>
    <t>ET1_RX_CLK</t>
  </si>
  <si>
    <t>RMII1_REF50CK</t>
  </si>
  <si>
    <t>RGMII1_RXC</t>
  </si>
  <si>
    <t>CAT1_RX_CLK</t>
  </si>
  <si>
    <t>RXD3_B</t>
  </si>
  <si>
    <t>MISO3_B</t>
  </si>
  <si>
    <t>SCL3_B</t>
  </si>
  <si>
    <t>B13</t>
  </si>
  <si>
    <t>P906</t>
  </si>
  <si>
    <t>LCD_DATA20_A</t>
  </si>
  <si>
    <t xml:space="preserve">VIO_D05 </t>
  </si>
  <si>
    <t>ET1_RXD0</t>
  </si>
  <si>
    <t>RMII1_RXD0</t>
  </si>
  <si>
    <t>RGMII1_RXD0</t>
  </si>
  <si>
    <t>CAT1_ERXD0</t>
  </si>
  <si>
    <t>CTS6_A</t>
  </si>
  <si>
    <t>SSILRCK1/SSIFS1_A</t>
  </si>
  <si>
    <t>B14</t>
  </si>
  <si>
    <t>P907</t>
  </si>
  <si>
    <t>LCD_DATA21_A</t>
  </si>
  <si>
    <t xml:space="preserve">VIO_D04 </t>
  </si>
  <si>
    <t>ET1_RXD1</t>
  </si>
  <si>
    <t>RMII1_RXD1</t>
  </si>
  <si>
    <t>RGMII1_RXD1</t>
  </si>
  <si>
    <t>CAT1_ERXD1</t>
  </si>
  <si>
    <t>SCK6_A</t>
  </si>
  <si>
    <t>SSIBCK1_A</t>
  </si>
  <si>
    <t>P908</t>
  </si>
  <si>
    <t>LCD_DATA22_A</t>
  </si>
  <si>
    <t xml:space="preserve">VIO_D03 </t>
  </si>
  <si>
    <t>ET1_RXD2</t>
  </si>
  <si>
    <t>RGMII1_RXD2</t>
  </si>
  <si>
    <t>CAT1_ERXD2</t>
  </si>
  <si>
    <t>TXD6_A</t>
  </si>
  <si>
    <t>MOSI6_A</t>
  </si>
  <si>
    <t>SDA6_A</t>
  </si>
  <si>
    <t>P909</t>
  </si>
  <si>
    <t>LCD_DATA23_A</t>
  </si>
  <si>
    <t>ISB_OVRCURA</t>
  </si>
  <si>
    <t>ET1_RXD3</t>
  </si>
  <si>
    <t>RGMII1_RXD3</t>
  </si>
  <si>
    <t>CAT1_ERXD3</t>
  </si>
  <si>
    <t>RXD6_A</t>
  </si>
  <si>
    <t>MISO6_ASCL6_A</t>
  </si>
  <si>
    <t>IRQ21-DS</t>
  </si>
  <si>
    <t>P910</t>
  </si>
  <si>
    <t>LCD_DATA4_B</t>
  </si>
  <si>
    <t>ET1_TXD4</t>
  </si>
  <si>
    <t>CTCPPO12</t>
  </si>
  <si>
    <t>P911</t>
  </si>
  <si>
    <t>LCD_DATA5_B</t>
  </si>
  <si>
    <t>ET1_TXD5</t>
  </si>
  <si>
    <t>P912</t>
  </si>
  <si>
    <t>LCD_DATA6_B</t>
  </si>
  <si>
    <t>ET1_TXD6</t>
  </si>
  <si>
    <t>P913</t>
  </si>
  <si>
    <t>LCD_DATA7_B</t>
  </si>
  <si>
    <t>ET1_TXD7</t>
  </si>
  <si>
    <t>CTCPPO11</t>
  </si>
  <si>
    <t>E5</t>
  </si>
  <si>
    <t>P914</t>
  </si>
  <si>
    <t>LCD_DATA0_B</t>
  </si>
  <si>
    <t>CTS_RTS6_B</t>
  </si>
  <si>
    <t>SS6_B</t>
  </si>
  <si>
    <t>A6</t>
  </si>
  <si>
    <t>P915</t>
  </si>
  <si>
    <t>LCD_DATA1_B</t>
  </si>
  <si>
    <t>CTS6_B</t>
  </si>
  <si>
    <t>32b SDRAM A3</t>
  </si>
  <si>
    <t>A05</t>
  </si>
  <si>
    <t>G1</t>
  </si>
  <si>
    <t>PA00</t>
  </si>
  <si>
    <t>LCD_CLK_A</t>
  </si>
  <si>
    <t>CTS_RTS5_B</t>
  </si>
  <si>
    <t>SS5_B</t>
  </si>
  <si>
    <t>SD0DAT7_A</t>
  </si>
  <si>
    <t xml:space="preserve">IRQ22 </t>
  </si>
  <si>
    <t>32b SDRAM A2</t>
  </si>
  <si>
    <t>A04</t>
  </si>
  <si>
    <t>G3</t>
  </si>
  <si>
    <t>PA01</t>
  </si>
  <si>
    <t>LCD_TCON0_A</t>
  </si>
  <si>
    <t xml:space="preserve">VIO_D06 </t>
  </si>
  <si>
    <t>CTS5_B</t>
  </si>
  <si>
    <t>SD0DAT6_A</t>
  </si>
  <si>
    <t xml:space="preserve">IRQ21 </t>
  </si>
  <si>
    <t>32b SDRAM A1</t>
  </si>
  <si>
    <t>A03</t>
  </si>
  <si>
    <t>G2</t>
  </si>
  <si>
    <t>F1</t>
  </si>
  <si>
    <t>PA02</t>
  </si>
  <si>
    <t xml:space="preserve">VIO_D07 </t>
  </si>
  <si>
    <t>RXD2_C</t>
  </si>
  <si>
    <t>MISO2_C</t>
  </si>
  <si>
    <t>SCL2_C</t>
  </si>
  <si>
    <t>SD0DAT5_A</t>
  </si>
  <si>
    <t xml:space="preserve">GTIW </t>
  </si>
  <si>
    <t xml:space="preserve">IRQ31 </t>
  </si>
  <si>
    <t>32b SDRAM A0</t>
  </si>
  <si>
    <t>A02</t>
  </si>
  <si>
    <t>G4</t>
  </si>
  <si>
    <t>PA03</t>
  </si>
  <si>
    <t xml:space="preserve">VIO_D08 </t>
  </si>
  <si>
    <t>TXD2_C</t>
  </si>
  <si>
    <t>MOSI2_C</t>
  </si>
  <si>
    <t>SDA2_C</t>
  </si>
  <si>
    <t>SD0DAT4_A</t>
  </si>
  <si>
    <t xml:space="preserve">GTIV </t>
  </si>
  <si>
    <t xml:space="preserve">ADST1 </t>
  </si>
  <si>
    <t xml:space="preserve">IRQ20 </t>
  </si>
  <si>
    <t>32b SDRAM DQM3</t>
  </si>
  <si>
    <t>DQM3</t>
  </si>
  <si>
    <t>PA04</t>
  </si>
  <si>
    <t>A01</t>
  </si>
  <si>
    <t xml:space="preserve">VIO_D09 </t>
  </si>
  <si>
    <t>SCK2_C</t>
  </si>
  <si>
    <t>SD0DAT3_A</t>
  </si>
  <si>
    <t xml:space="preserve">GTIU </t>
  </si>
  <si>
    <t xml:space="preserve">IRQ19 </t>
  </si>
  <si>
    <t>32b SDRAM DQM1</t>
  </si>
  <si>
    <t>DQM1</t>
  </si>
  <si>
    <t>F3</t>
  </si>
  <si>
    <t>PA05</t>
  </si>
  <si>
    <t>CTS_RTS2_C</t>
  </si>
  <si>
    <t>SS2_C</t>
  </si>
  <si>
    <t>SD0DAT2_A</t>
  </si>
  <si>
    <t xml:space="preserve">IRQ18 </t>
  </si>
  <si>
    <t>BC0</t>
  </si>
  <si>
    <t>A00</t>
  </si>
  <si>
    <t>32b SDRAM CKE</t>
  </si>
  <si>
    <t>CKE</t>
  </si>
  <si>
    <t>PA06</t>
  </si>
  <si>
    <t>CTS2_C</t>
  </si>
  <si>
    <t>SD0DAT1_A</t>
  </si>
  <si>
    <t xml:space="preserve">IRQ17 </t>
  </si>
  <si>
    <t>CS1</t>
  </si>
  <si>
    <t>F4</t>
  </si>
  <si>
    <t>PA07</t>
  </si>
  <si>
    <t>CSTS7_A</t>
  </si>
  <si>
    <t>SD0DAT0_A</t>
  </si>
  <si>
    <t xml:space="preserve">IRQ16 </t>
  </si>
  <si>
    <t xml:space="preserve">RD </t>
  </si>
  <si>
    <t>32b SDRAM WE#</t>
  </si>
  <si>
    <t>WE</t>
  </si>
  <si>
    <t>PA08</t>
  </si>
  <si>
    <t>LCD_TCON3_A</t>
  </si>
  <si>
    <t>RXD5_B</t>
  </si>
  <si>
    <t>MISO5_B</t>
  </si>
  <si>
    <t>SCL5_B</t>
  </si>
  <si>
    <t xml:space="preserve">IRQ6 </t>
  </si>
  <si>
    <t>CS0</t>
  </si>
  <si>
    <t>32b SDRAM CAS#</t>
  </si>
  <si>
    <t>CAS</t>
  </si>
  <si>
    <t>PA09</t>
  </si>
  <si>
    <t>LCD_TCON2_A</t>
  </si>
  <si>
    <t>TXD5_B</t>
  </si>
  <si>
    <t>MOSI5_B</t>
  </si>
  <si>
    <t>SDA5_B</t>
  </si>
  <si>
    <t xml:space="preserve">IRQ5 </t>
  </si>
  <si>
    <t>CS3</t>
  </si>
  <si>
    <t>32b SDRAM RAS#</t>
  </si>
  <si>
    <t>RAS</t>
  </si>
  <si>
    <t>F2</t>
  </si>
  <si>
    <t>PA10</t>
  </si>
  <si>
    <t>LCD_TCON1_A</t>
  </si>
  <si>
    <t>SCK5_B</t>
  </si>
  <si>
    <t>GTCPPO13</t>
  </si>
  <si>
    <t xml:space="preserve">IRQ4 </t>
  </si>
  <si>
    <t>CS2</t>
  </si>
  <si>
    <t>32b SDRAM DQ08</t>
  </si>
  <si>
    <t>DQ08</t>
  </si>
  <si>
    <t>PA11</t>
  </si>
  <si>
    <t>SCK9_C</t>
  </si>
  <si>
    <t xml:space="preserve">IRQ10 </t>
  </si>
  <si>
    <t>A08/D08</t>
  </si>
  <si>
    <t>D08</t>
  </si>
  <si>
    <t>32b SDRAM DQ09</t>
  </si>
  <si>
    <t>DQ09</t>
  </si>
  <si>
    <t>B2</t>
  </si>
  <si>
    <t>PA12</t>
  </si>
  <si>
    <t>RXD9_C</t>
  </si>
  <si>
    <t>MISO9_C</t>
  </si>
  <si>
    <t>SCL9_C</t>
  </si>
  <si>
    <t xml:space="preserve">IRQ11 </t>
  </si>
  <si>
    <t>A09/D09</t>
  </si>
  <si>
    <t>D09</t>
  </si>
  <si>
    <t>32b SDRAM DQ10</t>
  </si>
  <si>
    <t>DQ10</t>
  </si>
  <si>
    <t>C3</t>
  </si>
  <si>
    <t>PA13</t>
  </si>
  <si>
    <t>CTS_RTS9_C</t>
  </si>
  <si>
    <t>SS9_C</t>
  </si>
  <si>
    <t xml:space="preserve">IRQ12 </t>
  </si>
  <si>
    <t>A10/D10</t>
  </si>
  <si>
    <t>32b SDRAM DQ11</t>
  </si>
  <si>
    <t>DQ11</t>
  </si>
  <si>
    <t>D4</t>
  </si>
  <si>
    <t>PA14</t>
  </si>
  <si>
    <t>TXD9_C</t>
  </si>
  <si>
    <t>MOSI9_C</t>
  </si>
  <si>
    <t>SDA9_C</t>
  </si>
  <si>
    <t xml:space="preserve">IRQ13 </t>
  </si>
  <si>
    <t>A11/D11</t>
  </si>
  <si>
    <t>32b SDRAM CLK</t>
  </si>
  <si>
    <t>SDCLK</t>
  </si>
  <si>
    <t>E1</t>
  </si>
  <si>
    <t>PA15</t>
  </si>
  <si>
    <t>CST9_C</t>
  </si>
  <si>
    <t>EBCLK</t>
  </si>
  <si>
    <t>C14</t>
  </si>
  <si>
    <t>E16</t>
  </si>
  <si>
    <t>PB00</t>
  </si>
  <si>
    <t>LCD_DATA17_B</t>
  </si>
  <si>
    <t>ET0_TXD0</t>
  </si>
  <si>
    <t>RMII0_TXD0</t>
  </si>
  <si>
    <t>RGMII0_TXD0</t>
  </si>
  <si>
    <t>CAT0_ETXD0</t>
  </si>
  <si>
    <t>SCK1_B</t>
  </si>
  <si>
    <t xml:space="preserve">ADST0 </t>
  </si>
  <si>
    <t>C15</t>
  </si>
  <si>
    <t>D17</t>
  </si>
  <si>
    <t>PB01</t>
  </si>
  <si>
    <t>LCD_DATA13_B</t>
  </si>
  <si>
    <t>ET0_TX_CLK</t>
  </si>
  <si>
    <t>CAT0_TX_CLK</t>
  </si>
  <si>
    <t>CTS_RTS1_B</t>
  </si>
  <si>
    <t>SS1_B</t>
  </si>
  <si>
    <t>PB02</t>
  </si>
  <si>
    <t>LCD_DATA16_B</t>
  </si>
  <si>
    <t>ET0_TXD1</t>
  </si>
  <si>
    <t>RMII0_TXD1</t>
  </si>
  <si>
    <t>RGMII0_TXD1</t>
  </si>
  <si>
    <t>CAT0_ETXD1</t>
  </si>
  <si>
    <t>RXD5_C</t>
  </si>
  <si>
    <t>MISO5_C</t>
  </si>
  <si>
    <t>SCL5_C</t>
  </si>
  <si>
    <t>D16</t>
  </si>
  <si>
    <t>PB03</t>
  </si>
  <si>
    <t>LCD_DATA15_B</t>
  </si>
  <si>
    <t>ET0_TXD2</t>
  </si>
  <si>
    <t>RGMII0_TXD2</t>
  </si>
  <si>
    <t>CAT0_ETXD2</t>
  </si>
  <si>
    <t>TXD5_C</t>
  </si>
  <si>
    <t>MOSI5_C</t>
  </si>
  <si>
    <t>SDA5_C</t>
  </si>
  <si>
    <t>PB04</t>
  </si>
  <si>
    <t>LCD_DATA14_B</t>
  </si>
  <si>
    <t>ET0_TXD3</t>
  </si>
  <si>
    <t>RGMII0_TXD3</t>
  </si>
  <si>
    <t>CAT0_ETXD3</t>
  </si>
  <si>
    <t>SCK5_C</t>
  </si>
  <si>
    <t xml:space="preserve">IRQ9 </t>
  </si>
  <si>
    <t>PB05</t>
  </si>
  <si>
    <t>LCD_DATA12_B</t>
  </si>
  <si>
    <t>ET0_TXD7</t>
  </si>
  <si>
    <t>CTS5_C</t>
  </si>
  <si>
    <t xml:space="preserve">IRQ15 </t>
  </si>
  <si>
    <t>PB06</t>
  </si>
  <si>
    <t>LCD_DATA11_B</t>
  </si>
  <si>
    <t>ET0_TXD6</t>
  </si>
  <si>
    <t>CTS_RTS5_C</t>
  </si>
  <si>
    <t>SS5_C</t>
  </si>
  <si>
    <t xml:space="preserve">IRQ0 </t>
  </si>
  <si>
    <t>PB07</t>
  </si>
  <si>
    <t>LCD_DATA10_B</t>
  </si>
  <si>
    <t>ET0_TXD5</t>
  </si>
  <si>
    <t xml:space="preserve">IRQ1 </t>
  </si>
  <si>
    <t>VSS_02</t>
  </si>
  <si>
    <t>H12</t>
  </si>
  <si>
    <t>PB08/VSS_02</t>
  </si>
  <si>
    <t>CATLEDRUN</t>
  </si>
  <si>
    <t>VCC_USBHS</t>
  </si>
  <si>
    <t>H15</t>
  </si>
  <si>
    <t>PB09/VCC_USBHS</t>
  </si>
  <si>
    <t xml:space="preserve">CATIRQ </t>
  </si>
  <si>
    <t>USB 2.0 Type-C DP</t>
  </si>
  <si>
    <t>USBHS_DP</t>
  </si>
  <si>
    <t>H16</t>
  </si>
  <si>
    <t>PB10/USBHS_DP</t>
  </si>
  <si>
    <t>CATLEDSTER</t>
  </si>
  <si>
    <t>VSS_05</t>
  </si>
  <si>
    <t>G17</t>
  </si>
  <si>
    <t>PB11/VSS_05</t>
  </si>
  <si>
    <t>CATLEDERR</t>
  </si>
  <si>
    <t>VCC_05</t>
  </si>
  <si>
    <t>G16</t>
  </si>
  <si>
    <t>PB12/VCC_05</t>
  </si>
  <si>
    <t>CATLINKACT0</t>
  </si>
  <si>
    <t>USB 2.0 Type-C DM</t>
  </si>
  <si>
    <t>USBHS_DM</t>
  </si>
  <si>
    <t>G15</t>
  </si>
  <si>
    <t>H17</t>
  </si>
  <si>
    <t>PB13/USBHS_DM</t>
  </si>
  <si>
    <t>CATLINKACT1</t>
  </si>
  <si>
    <t xml:space="preserve">IRQ7 </t>
  </si>
  <si>
    <t>VSS_03</t>
  </si>
  <si>
    <t>PB14/VSS_03</t>
  </si>
  <si>
    <t>CATSYNC0</t>
  </si>
  <si>
    <t>32b SDRAM DQ30</t>
  </si>
  <si>
    <t>DQ30</t>
  </si>
  <si>
    <t>M1</t>
  </si>
  <si>
    <t>PC00</t>
  </si>
  <si>
    <t>CTS_RTS7_C</t>
  </si>
  <si>
    <t>SS7_C</t>
  </si>
  <si>
    <t>OM_1_SIO5</t>
  </si>
  <si>
    <t xml:space="preserve">IRQ28 </t>
  </si>
  <si>
    <t>D30</t>
  </si>
  <si>
    <t>32b SDRAM DQ29</t>
  </si>
  <si>
    <t>DQ29</t>
  </si>
  <si>
    <t>PC01</t>
  </si>
  <si>
    <t>CTS7_C</t>
  </si>
  <si>
    <t>OM_1_SIO0</t>
  </si>
  <si>
    <t xml:space="preserve">IRQ27 </t>
  </si>
  <si>
    <t>D29</t>
  </si>
  <si>
    <t>32b SDRAM DQ28</t>
  </si>
  <si>
    <t>DQ28</t>
  </si>
  <si>
    <t>PC02</t>
  </si>
  <si>
    <t>SCK7_C</t>
  </si>
  <si>
    <t>OM_1_SIO3</t>
  </si>
  <si>
    <t xml:space="preserve">IRQ26 </t>
  </si>
  <si>
    <t>D28</t>
  </si>
  <si>
    <t>32b SDRAM DQ27</t>
  </si>
  <si>
    <t>DQ27</t>
  </si>
  <si>
    <t>L1</t>
  </si>
  <si>
    <t>PC03</t>
  </si>
  <si>
    <t>TXD7_C</t>
  </si>
  <si>
    <t>MOSI7_C</t>
  </si>
  <si>
    <t>SDA7_C</t>
  </si>
  <si>
    <t>OM_1_SIO4</t>
  </si>
  <si>
    <t xml:space="preserve">IRQ25 </t>
  </si>
  <si>
    <t>D27</t>
  </si>
  <si>
    <t>32b SDRAM DQ26</t>
  </si>
  <si>
    <t>DQ26</t>
  </si>
  <si>
    <t>PC04</t>
  </si>
  <si>
    <t>RXD7_C</t>
  </si>
  <si>
    <t>MISO7_C</t>
  </si>
  <si>
    <t>SCL7_C</t>
  </si>
  <si>
    <t>OM_1_SIO2</t>
  </si>
  <si>
    <t xml:space="preserve">IRQ24 </t>
  </si>
  <si>
    <t>D26</t>
  </si>
  <si>
    <t>32b SDRAM DQ25</t>
  </si>
  <si>
    <t>DQ25</t>
  </si>
  <si>
    <t>PC05</t>
  </si>
  <si>
    <t>OM_1_CS1</t>
  </si>
  <si>
    <t xml:space="preserve">IRQ23 </t>
  </si>
  <si>
    <t>D25</t>
  </si>
  <si>
    <t>32b SDRAM DQ24</t>
  </si>
  <si>
    <t>DQ24</t>
  </si>
  <si>
    <t>PC06</t>
  </si>
  <si>
    <t>OM_1_ECSINT1</t>
  </si>
  <si>
    <t>D24</t>
  </si>
  <si>
    <t>32b SDRAM DQ23</t>
  </si>
  <si>
    <t>DQ23</t>
  </si>
  <si>
    <t>K5</t>
  </si>
  <si>
    <t>PC07</t>
  </si>
  <si>
    <t>OM_1_RESET</t>
  </si>
  <si>
    <t>D23</t>
  </si>
  <si>
    <t>32b SDRAM DQ22</t>
  </si>
  <si>
    <t>DQ22</t>
  </si>
  <si>
    <t>PC08</t>
  </si>
  <si>
    <t>OM_1_CS0</t>
  </si>
  <si>
    <t xml:space="preserve">IRQ29 </t>
  </si>
  <si>
    <t>D22</t>
  </si>
  <si>
    <t>32b SDRAM DQ21</t>
  </si>
  <si>
    <t>DQ21</t>
  </si>
  <si>
    <t>PC09</t>
  </si>
  <si>
    <t>OM_1_RSTO1</t>
  </si>
  <si>
    <t>D21</t>
  </si>
  <si>
    <t>32b SDRAM DQ20</t>
  </si>
  <si>
    <t>DQ20</t>
  </si>
  <si>
    <t>PC10</t>
  </si>
  <si>
    <t>OM_1_WP1</t>
  </si>
  <si>
    <t>D20</t>
  </si>
  <si>
    <t>32b SDRAM DQ19</t>
  </si>
  <si>
    <t>DQ19</t>
  </si>
  <si>
    <t>H5</t>
  </si>
  <si>
    <t>PC11</t>
  </si>
  <si>
    <t>CTS_RTS6_C</t>
  </si>
  <si>
    <t>SS6_C</t>
  </si>
  <si>
    <t xml:space="preserve">IRQ3 </t>
  </si>
  <si>
    <t>D19</t>
  </si>
  <si>
    <t>32b SDRAM DQ18</t>
  </si>
  <si>
    <t>DQ18</t>
  </si>
  <si>
    <t>J5</t>
  </si>
  <si>
    <t>G5</t>
  </si>
  <si>
    <t>PC12</t>
  </si>
  <si>
    <t>SCK6_C</t>
  </si>
  <si>
    <t xml:space="preserve">IRQ2 </t>
  </si>
  <si>
    <t>D18</t>
  </si>
  <si>
    <t>32b SDRAM DQ17</t>
  </si>
  <si>
    <t>DQ17</t>
  </si>
  <si>
    <t>PC13</t>
  </si>
  <si>
    <t>RXD6_C</t>
  </si>
  <si>
    <t>MISO6_C</t>
  </si>
  <si>
    <t>SCL6_C</t>
  </si>
  <si>
    <t>32b SDRAM DQ16</t>
  </si>
  <si>
    <t>DQ16</t>
  </si>
  <si>
    <t>F5</t>
  </si>
  <si>
    <t>PC14</t>
  </si>
  <si>
    <t>TXD6_C</t>
  </si>
  <si>
    <t>MOSI6_C</t>
  </si>
  <si>
    <t>SDA6_C</t>
  </si>
  <si>
    <t>J201:1</t>
  </si>
  <si>
    <t>K1</t>
  </si>
  <si>
    <t>PC15</t>
  </si>
  <si>
    <t>CTS6_C</t>
  </si>
  <si>
    <t>32b SDRAM BA1</t>
  </si>
  <si>
    <t>PD00</t>
  </si>
  <si>
    <t>SCK5_A</t>
  </si>
  <si>
    <t xml:space="preserve">GTCPPO5 </t>
  </si>
  <si>
    <t>TF Slot DAT2</t>
  </si>
  <si>
    <t>SD0DAT2_C</t>
  </si>
  <si>
    <t>B16</t>
  </si>
  <si>
    <t>PD01</t>
  </si>
  <si>
    <t xml:space="preserve">ET1_RXD6 </t>
  </si>
  <si>
    <t>SCK8_C</t>
  </si>
  <si>
    <t xml:space="preserve">SD0DAT2_C </t>
  </si>
  <si>
    <t xml:space="preserve">GTCPPO2 </t>
  </si>
  <si>
    <t>TF Slot DAT1</t>
  </si>
  <si>
    <t>SD0DAT1_C</t>
  </si>
  <si>
    <t>B17</t>
  </si>
  <si>
    <t>PD02</t>
  </si>
  <si>
    <t xml:space="preserve">ET1_RXD7 </t>
  </si>
  <si>
    <t>TXD8_C</t>
  </si>
  <si>
    <t>MOSI8_C</t>
  </si>
  <si>
    <t>SDA8_C</t>
  </si>
  <si>
    <t xml:space="preserve">SD0DAT1_C </t>
  </si>
  <si>
    <t xml:space="preserve">GTCPPO1 </t>
  </si>
  <si>
    <t>TF Slot DAT0</t>
  </si>
  <si>
    <t xml:space="preserve">SD0DAT0_C </t>
  </si>
  <si>
    <t>PD03</t>
  </si>
  <si>
    <t xml:space="preserve">ET0_RXD4 </t>
  </si>
  <si>
    <t>RXD8_C</t>
  </si>
  <si>
    <t>MISO8_C</t>
  </si>
  <si>
    <t>SCL8_C</t>
  </si>
  <si>
    <t xml:space="preserve">GTIOC3B </t>
  </si>
  <si>
    <t>TF Slot CMD</t>
  </si>
  <si>
    <t>SD0CMD_C</t>
  </si>
  <si>
    <t>PD04</t>
  </si>
  <si>
    <t xml:space="preserve">USBHS_ID </t>
  </si>
  <si>
    <t xml:space="preserve">ET0_RXD5 </t>
  </si>
  <si>
    <t>CTS_RTS8_C</t>
  </si>
  <si>
    <t>SS8_C</t>
  </si>
  <si>
    <t xml:space="preserve">SD0CMD_C </t>
  </si>
  <si>
    <t xml:space="preserve">GTIOC3A </t>
  </si>
  <si>
    <t>TF Slot CLK</t>
  </si>
  <si>
    <t xml:space="preserve">SD0CLK_C </t>
  </si>
  <si>
    <t>C16</t>
  </si>
  <si>
    <t>PD05</t>
  </si>
  <si>
    <t xml:space="preserve">ET0_RXD6 </t>
  </si>
  <si>
    <t>CTS8_C</t>
  </si>
  <si>
    <t xml:space="preserve">GTIOC2B </t>
  </si>
  <si>
    <t>C17</t>
  </si>
  <si>
    <t>PD06</t>
  </si>
  <si>
    <t xml:space="preserve">ET0_RXD7 </t>
  </si>
  <si>
    <t xml:space="preserve">GTIOC2A </t>
  </si>
  <si>
    <t>TF Slot CD</t>
  </si>
  <si>
    <t>PD07</t>
  </si>
  <si>
    <t>ET0_TXD4</t>
  </si>
  <si>
    <t>USB HOST 5V</t>
  </si>
  <si>
    <t>VIN_5V</t>
  </si>
  <si>
    <t>CPKHMI Only. CPKCOR板上NC</t>
  </si>
  <si>
    <t>CPKCOR Only. CPKNET/HMI板上NC</t>
  </si>
  <si>
    <t>USBHS管脚，仅T2核心板上有信号，其他核心板无连接</t>
  </si>
  <si>
    <t>VSYS_3V3</t>
  </si>
  <si>
    <t>RESET</t>
  </si>
  <si>
    <t>VREFH0</t>
  </si>
  <si>
    <t>AVSS0</t>
  </si>
  <si>
    <t>VREFL0</t>
  </si>
  <si>
    <r>
      <t xml:space="preserve">VBATT </t>
    </r>
    <r>
      <rPr>
        <sz val="11"/>
        <color theme="0" tint="-0.249977111117893"/>
        <rFont val="Calibri"/>
        <family val="2"/>
        <scheme val="minor"/>
      </rPr>
      <t>/VCC</t>
    </r>
  </si>
  <si>
    <t>LDO3_Out</t>
  </si>
  <si>
    <t>LDO4_Out</t>
  </si>
  <si>
    <t>Buck1_Out</t>
  </si>
  <si>
    <t>GND</t>
  </si>
  <si>
    <t>VSS</t>
  </si>
  <si>
    <t>Duplicate 27</t>
  </si>
  <si>
    <t>Duplicate 31</t>
  </si>
  <si>
    <t>Duplicate 51</t>
  </si>
  <si>
    <t>Duplicate 55</t>
  </si>
  <si>
    <t>Duplicate 59</t>
  </si>
  <si>
    <t>Duplicate 77</t>
  </si>
  <si>
    <t>PMIC_EN</t>
  </si>
  <si>
    <t>RA4M2_P100_TDO</t>
  </si>
  <si>
    <t>RA4M2_P103_TDI</t>
  </si>
  <si>
    <t>RA4M2_P102_SWCLK</t>
  </si>
  <si>
    <t>RA4M2_P301_RXD2</t>
  </si>
  <si>
    <t>RA4M2_P101_SWDIO</t>
  </si>
  <si>
    <t>RA4M2_P302_TXD2</t>
  </si>
  <si>
    <t>RA4M2_P112_RESOUT</t>
  </si>
  <si>
    <t>DBG_EN</t>
  </si>
  <si>
    <t>USBPWR_EN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</si>
</sst>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5050"/>
      <name val="Calibri"/>
      <family val="2"/>
      <scheme val="minor"/>
    </font>
    <font>
      <sz val="11"/>
      <color rgb="FFFF66CC"/>
      <name val="Calibri"/>
      <family val="2"/>
      <scheme val="minor"/>
    </font>
    <font>
      <sz val="11"/>
      <color theme="7" tint="-0.249977111117893"/>
      <name val="新宋体"/>
      <family val="3"/>
      <charset val="134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66FF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2" borderId="0" xfId="0" applyFont="1" applyFill="1"/>
    <xf numFmtId="49" fontId="2" fillId="2" borderId="0" xfId="0" applyNumberFormat="1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3" borderId="0" xfId="0" applyFill="1"/>
    <xf numFmtId="49" fontId="10" fillId="0" borderId="0" xfId="0" applyNumberFormat="1" applyFont="1"/>
    <xf numFmtId="0" fontId="0" fillId="4" borderId="0" xfId="0" applyFill="1"/>
    <xf numFmtId="0" fontId="10" fillId="4" borderId="0" xfId="0" applyFont="1" applyFill="1"/>
    <xf numFmtId="0" fontId="0" fillId="5" borderId="0" xfId="0" applyFill="1"/>
    <xf numFmtId="0" fontId="1" fillId="0" borderId="0" xfId="0" applyFont="1"/>
    <xf numFmtId="0" fontId="1" fillId="5" borderId="0" xfId="0" applyFont="1" applyFill="1"/>
    <xf numFmtId="0" fontId="0" fillId="6" borderId="0" xfId="0" applyFill="1"/>
    <xf numFmtId="0" fontId="10" fillId="6" borderId="0" xfId="0" applyFont="1" applyFill="1"/>
    <xf numFmtId="0" fontId="12" fillId="4" borderId="0" xfId="0" applyFont="1" applyFill="1"/>
    <xf numFmtId="0" fontId="0" fillId="7" borderId="0" xfId="0" applyFill="1"/>
    <xf numFmtId="0" fontId="12" fillId="0" borderId="0" xfId="0" applyFont="1"/>
    <xf numFmtId="49" fontId="10" fillId="8" borderId="0" xfId="0" applyNumberFormat="1" applyFont="1" applyFill="1"/>
    <xf numFmtId="0" fontId="10" fillId="8" borderId="0" xfId="0" applyFont="1" applyFill="1"/>
    <xf numFmtId="0" fontId="4" fillId="6" borderId="0" xfId="0" applyFont="1" applyFill="1"/>
    <xf numFmtId="0" fontId="13" fillId="7" borderId="0" xfId="0" applyFont="1" applyFill="1"/>
    <xf numFmtId="0" fontId="3" fillId="6" borderId="0" xfId="0" applyFont="1" applyFill="1"/>
    <xf numFmtId="0" fontId="4" fillId="4" borderId="0" xfId="0" applyFont="1" applyFill="1"/>
    <xf numFmtId="0" fontId="0" fillId="9" borderId="0" xfId="0" applyFill="1"/>
    <xf numFmtId="0" fontId="14" fillId="7" borderId="0" xfId="0" applyFont="1" applyFill="1"/>
    <xf numFmtId="0" fontId="0" fillId="10" borderId="0" xfId="0" applyFill="1"/>
    <xf numFmtId="0" fontId="2" fillId="11" borderId="0" xfId="0" applyFont="1" applyFill="1"/>
    <xf numFmtId="0" fontId="10" fillId="0" borderId="0" xfId="0" applyFont="1" applyAlignment="1">
      <alignment horizontal="center" vertical="center"/>
    </xf>
    <xf numFmtId="0" fontId="0" fillId="12" borderId="0" xfId="0" applyFill="1"/>
    <xf numFmtId="49" fontId="0" fillId="12" borderId="0" xfId="0" applyNumberFormat="1" applyFill="1"/>
    <xf numFmtId="0" fontId="0" fillId="12" borderId="0" xfId="0" applyFill="1" applyAlignment="1">
      <alignment horizontal="center" vertical="center"/>
    </xf>
    <xf numFmtId="0" fontId="3" fillId="12" borderId="0" xfId="0" applyFont="1" applyFill="1"/>
    <xf numFmtId="0" fontId="4" fillId="12" borderId="0" xfId="0" applyFont="1" applyFill="1"/>
    <xf numFmtId="0" fontId="5" fillId="12" borderId="0" xfId="0" applyFont="1" applyFill="1"/>
    <xf numFmtId="0" fontId="0" fillId="13" borderId="0" xfId="0" applyFill="1"/>
  </cellXfs>
  <cellStyles count="1">
    <cellStyle name="Normal" xfId="0" builtinId="0"/>
  </cellStyles>
  <dxfs count="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D96C-1442-4B82-836C-1497E99A79C2}">
  <sheetPr>
    <tabColor theme="4" tint="0.59999389629810485"/>
  </sheetPr>
  <dimension ref="A1:CB316"/>
  <sheetViews>
    <sheetView tabSelected="1" workbookViewId="0">
      <pane xSplit="23" ySplit="20" topLeftCell="X159" activePane="bottomRight" state="frozen"/>
      <selection pane="topRight" activeCell="X1" sqref="X1"/>
      <selection pane="bottomLeft" activeCell="A21" sqref="A21"/>
      <selection pane="bottomRight" activeCell="N25" sqref="N25"/>
    </sheetView>
  </sheetViews>
  <sheetFormatPr defaultRowHeight="15" x14ac:dyDescent="0.25"/>
  <cols>
    <col min="1" max="1" width="2.28515625" customWidth="1"/>
    <col min="2" max="4" width="4.28515625" customWidth="1"/>
    <col min="5" max="5" width="22.5703125" customWidth="1"/>
    <col min="6" max="6" width="17.140625" hidden="1" customWidth="1"/>
    <col min="7" max="9" width="3" hidden="1" customWidth="1"/>
    <col min="10" max="10" width="11.42578125" customWidth="1"/>
    <col min="11" max="11" width="10" style="2" customWidth="1"/>
    <col min="12" max="12" width="7.140625" customWidth="1"/>
    <col min="13" max="13" width="5.28515625" customWidth="1"/>
    <col min="14" max="14" width="5.28515625" style="2" customWidth="1"/>
    <col min="15" max="16" width="5.28515625" customWidth="1"/>
    <col min="17" max="17" width="8" customWidth="1"/>
    <col min="18" max="20" width="3.85546875" style="1" customWidth="1"/>
    <col min="21" max="21" width="1.42578125" customWidth="1"/>
    <col min="22" max="22" width="8.7109375" customWidth="1"/>
    <col min="23" max="23" width="11.7109375" customWidth="1"/>
    <col min="24" max="24" width="12.5703125" customWidth="1"/>
    <col min="25" max="25" width="14.140625" customWidth="1"/>
    <col min="26" max="26" width="16.42578125" style="3" customWidth="1"/>
    <col min="27" max="27" width="12" style="4" customWidth="1"/>
    <col min="28" max="28" width="16.28515625" style="5" customWidth="1"/>
    <col min="29" max="29" width="16.140625" style="5" customWidth="1"/>
    <col min="30" max="30" width="12.85546875" style="3" customWidth="1"/>
    <col min="31" max="31" width="12.28515625" style="3" customWidth="1"/>
    <col min="32" max="32" width="11.140625" style="3" customWidth="1"/>
    <col min="33" max="33" width="12.85546875" customWidth="1"/>
    <col min="34" max="34" width="14.85546875" customWidth="1"/>
    <col min="35" max="35" width="14.5703125" customWidth="1"/>
    <col min="36" max="36" width="15" customWidth="1"/>
    <col min="37" max="37" width="18.140625" customWidth="1"/>
    <col min="38" max="38" width="18.7109375" customWidth="1"/>
    <col min="39" max="39" width="15" style="4" customWidth="1"/>
    <col min="40" max="40" width="13" style="4" customWidth="1"/>
    <col min="41" max="48" width="9.140625" customWidth="1"/>
    <col min="49" max="49" width="12.85546875" customWidth="1"/>
    <col min="50" max="51" width="7.85546875" customWidth="1"/>
    <col min="52" max="52" width="14.140625" customWidth="1"/>
    <col min="53" max="53" width="9.140625" customWidth="1"/>
    <col min="54" max="54" width="14.7109375" customWidth="1"/>
    <col min="55" max="55" width="12.42578125" customWidth="1"/>
    <col min="58" max="58" width="10.42578125" customWidth="1"/>
    <col min="60" max="60" width="13" customWidth="1"/>
    <col min="61" max="61" width="7.5703125" customWidth="1"/>
    <col min="62" max="62" width="10.28515625" customWidth="1"/>
    <col min="63" max="63" width="8.140625" customWidth="1"/>
    <col min="64" max="64" width="6.7109375" customWidth="1"/>
    <col min="65" max="65" width="7.5703125" customWidth="1"/>
    <col min="67" max="67" width="12.42578125" customWidth="1"/>
  </cols>
  <sheetData>
    <row r="1" spans="18:20" ht="18" customHeight="1" x14ac:dyDescent="0.25"/>
    <row r="2" spans="18:20" ht="4.5" hidden="1" customHeight="1" x14ac:dyDescent="0.25">
      <c r="R2"/>
      <c r="S2"/>
      <c r="T2"/>
    </row>
    <row r="3" spans="18:20" ht="4.5" hidden="1" customHeight="1" x14ac:dyDescent="0.25">
      <c r="R3"/>
      <c r="S3"/>
      <c r="T3"/>
    </row>
    <row r="4" spans="18:20" ht="4.5" hidden="1" customHeight="1" x14ac:dyDescent="0.25">
      <c r="R4"/>
      <c r="S4"/>
      <c r="T4"/>
    </row>
    <row r="5" spans="18:20" ht="4.5" hidden="1" customHeight="1" x14ac:dyDescent="0.25">
      <c r="R5"/>
      <c r="S5"/>
      <c r="T5"/>
    </row>
    <row r="6" spans="18:20" ht="4.5" hidden="1" customHeight="1" x14ac:dyDescent="0.25">
      <c r="R6"/>
      <c r="S6"/>
      <c r="T6"/>
    </row>
    <row r="7" spans="18:20" ht="4.5" hidden="1" customHeight="1" x14ac:dyDescent="0.25">
      <c r="R7"/>
      <c r="S7"/>
      <c r="T7"/>
    </row>
    <row r="8" spans="18:20" ht="4.5" hidden="1" customHeight="1" x14ac:dyDescent="0.25">
      <c r="R8"/>
      <c r="S8"/>
      <c r="T8"/>
    </row>
    <row r="9" spans="18:20" ht="4.5" hidden="1" customHeight="1" x14ac:dyDescent="0.25">
      <c r="R9"/>
      <c r="S9"/>
      <c r="T9"/>
    </row>
    <row r="10" spans="18:20" ht="4.5" hidden="1" customHeight="1" x14ac:dyDescent="0.25">
      <c r="R10"/>
      <c r="S10"/>
      <c r="T10"/>
    </row>
    <row r="11" spans="18:20" ht="4.5" hidden="1" customHeight="1" x14ac:dyDescent="0.25">
      <c r="R11"/>
      <c r="S11"/>
      <c r="T11"/>
    </row>
    <row r="12" spans="18:20" ht="4.5" hidden="1" customHeight="1" x14ac:dyDescent="0.25">
      <c r="R12"/>
      <c r="S12"/>
      <c r="T12"/>
    </row>
    <row r="13" spans="18:20" ht="4.5" hidden="1" customHeight="1" x14ac:dyDescent="0.25">
      <c r="R13"/>
      <c r="S13"/>
      <c r="T13"/>
    </row>
    <row r="14" spans="18:20" ht="4.5" hidden="1" customHeight="1" x14ac:dyDescent="0.25">
      <c r="R14"/>
      <c r="S14"/>
      <c r="T14"/>
    </row>
    <row r="15" spans="18:20" ht="4.5" hidden="1" customHeight="1" x14ac:dyDescent="0.25">
      <c r="R15"/>
      <c r="S15"/>
      <c r="T15"/>
    </row>
    <row r="16" spans="18:20" ht="4.5" hidden="1" customHeight="1" x14ac:dyDescent="0.25">
      <c r="R16"/>
      <c r="S16"/>
      <c r="T16"/>
    </row>
    <row r="17" spans="1:80" ht="4.5" hidden="1" customHeight="1" x14ac:dyDescent="0.25">
      <c r="R17"/>
      <c r="S17"/>
      <c r="T17"/>
    </row>
    <row r="18" spans="1:80" x14ac:dyDescent="0.25">
      <c r="B18">
        <v>80</v>
      </c>
      <c r="C18">
        <v>80</v>
      </c>
      <c r="D18">
        <f>80</f>
        <v>80</v>
      </c>
      <c r="F18" s="6"/>
      <c r="J18" s="7" t="s">
        <v>0</v>
      </c>
      <c r="K18" s="8"/>
      <c r="L18" s="7"/>
      <c r="M18" s="7"/>
      <c r="N18" s="8"/>
      <c r="O18" s="7"/>
      <c r="P18" s="7"/>
      <c r="W18" s="9"/>
      <c r="X18" s="10"/>
      <c r="AH18" s="11" t="s">
        <v>1</v>
      </c>
    </row>
    <row r="19" spans="1:80" x14ac:dyDescent="0.25">
      <c r="B19">
        <f>COUNTA(B21:B308)</f>
        <v>80</v>
      </c>
      <c r="C19">
        <f>COUNTA(C21:C308)</f>
        <v>80</v>
      </c>
      <c r="D19">
        <f>COUNTA(D21:D308)</f>
        <v>80</v>
      </c>
      <c r="E19" t="s">
        <v>2</v>
      </c>
      <c r="F19" t="s">
        <v>3</v>
      </c>
      <c r="J19" s="12" t="s">
        <v>4</v>
      </c>
      <c r="K19" s="13" t="s">
        <v>5</v>
      </c>
      <c r="L19" s="13" t="s">
        <v>6</v>
      </c>
      <c r="M19" s="13" t="s">
        <v>7</v>
      </c>
      <c r="N19" s="13" t="s">
        <v>8</v>
      </c>
      <c r="O19" s="14" t="s">
        <v>7</v>
      </c>
      <c r="P19" s="14" t="s">
        <v>9</v>
      </c>
      <c r="Q19" s="2"/>
      <c r="R19" s="1">
        <f>COUNTA(R21:R235)</f>
        <v>137</v>
      </c>
      <c r="S19" s="1">
        <f t="shared" ref="S19:T19" si="0">COUNTA(S21:S235)</f>
        <v>156</v>
      </c>
      <c r="T19" s="1">
        <f t="shared" si="0"/>
        <v>215</v>
      </c>
      <c r="V19" t="s">
        <v>10</v>
      </c>
      <c r="W19" s="15"/>
      <c r="X19" t="s">
        <v>11</v>
      </c>
      <c r="Y19" t="s">
        <v>11</v>
      </c>
      <c r="Z19" s="3" t="s">
        <v>12</v>
      </c>
      <c r="AA19" s="4" t="s">
        <v>13</v>
      </c>
      <c r="AB19" s="5" t="s">
        <v>14</v>
      </c>
      <c r="AC19" s="5" t="s">
        <v>14</v>
      </c>
      <c r="AD19" s="3" t="s">
        <v>12</v>
      </c>
      <c r="AE19" s="3" t="s">
        <v>12</v>
      </c>
      <c r="AF19" s="3" t="s">
        <v>12</v>
      </c>
      <c r="AG19" s="16" t="s">
        <v>11</v>
      </c>
      <c r="AH19" s="16" t="s">
        <v>11</v>
      </c>
      <c r="AI19" s="16" t="s">
        <v>11</v>
      </c>
      <c r="AJ19" s="16" t="s">
        <v>11</v>
      </c>
      <c r="AK19" s="16" t="s">
        <v>11</v>
      </c>
      <c r="AL19" s="16" t="s">
        <v>11</v>
      </c>
      <c r="AM19" s="4" t="s">
        <v>15</v>
      </c>
      <c r="AN19" s="4" t="s">
        <v>16</v>
      </c>
      <c r="AO19" s="16" t="s">
        <v>11</v>
      </c>
      <c r="AP19" s="16" t="s">
        <v>11</v>
      </c>
      <c r="AQ19" s="16" t="s">
        <v>11</v>
      </c>
      <c r="AR19" s="16" t="s">
        <v>11</v>
      </c>
      <c r="AS19" s="16" t="s">
        <v>11</v>
      </c>
      <c r="AT19" s="16" t="s">
        <v>11</v>
      </c>
      <c r="AU19" s="16" t="s">
        <v>11</v>
      </c>
      <c r="AV19" s="16" t="s">
        <v>11</v>
      </c>
      <c r="AW19" s="16" t="s">
        <v>11</v>
      </c>
      <c r="AX19" s="16" t="s">
        <v>11</v>
      </c>
      <c r="AY19" s="16" t="s">
        <v>11</v>
      </c>
      <c r="AZ19" s="16" t="s">
        <v>11</v>
      </c>
      <c r="BA19" s="16" t="s">
        <v>11</v>
      </c>
      <c r="BB19" s="16" t="s">
        <v>11</v>
      </c>
      <c r="BC19" s="16" t="s">
        <v>12</v>
      </c>
      <c r="BD19" s="16" t="s">
        <v>11</v>
      </c>
      <c r="BE19" s="16" t="s">
        <v>11</v>
      </c>
      <c r="BF19" s="16" t="s">
        <v>11</v>
      </c>
      <c r="BG19" s="16" t="s">
        <v>11</v>
      </c>
      <c r="BH19" s="16" t="s">
        <v>11</v>
      </c>
      <c r="BI19" s="16" t="s">
        <v>11</v>
      </c>
      <c r="BJ19" s="16" t="s">
        <v>11</v>
      </c>
      <c r="BK19" s="16" t="s">
        <v>11</v>
      </c>
      <c r="BL19" s="16" t="s">
        <v>11</v>
      </c>
      <c r="BM19" s="16" t="s">
        <v>11</v>
      </c>
      <c r="BN19" s="16" t="s">
        <v>11</v>
      </c>
      <c r="BO19" s="16" t="s">
        <v>11</v>
      </c>
      <c r="BP19" s="16" t="s">
        <v>11</v>
      </c>
      <c r="BQ19" s="16" t="s">
        <v>11</v>
      </c>
      <c r="BR19" s="16" t="s">
        <v>11</v>
      </c>
      <c r="BS19" s="16" t="s">
        <v>11</v>
      </c>
      <c r="BT19" s="16" t="s">
        <v>11</v>
      </c>
      <c r="BU19" s="16" t="s">
        <v>11</v>
      </c>
    </row>
    <row r="20" spans="1:80" ht="56.25" customHeight="1" x14ac:dyDescent="0.25">
      <c r="A20" s="17"/>
      <c r="B20" s="17" t="s">
        <v>17</v>
      </c>
      <c r="C20" s="17" t="s">
        <v>18</v>
      </c>
      <c r="D20" s="17" t="s">
        <v>19</v>
      </c>
      <c r="E20" s="18" t="s">
        <v>20</v>
      </c>
      <c r="F20" s="18" t="s">
        <v>21</v>
      </c>
      <c r="G20" s="18"/>
      <c r="H20" s="18"/>
      <c r="I20" s="18"/>
      <c r="J20" s="18" t="s">
        <v>22</v>
      </c>
      <c r="K20" s="18" t="s">
        <v>23</v>
      </c>
      <c r="L20" s="18" t="s">
        <v>24</v>
      </c>
      <c r="M20" s="18" t="s">
        <v>25</v>
      </c>
      <c r="N20" s="18" t="s">
        <v>26</v>
      </c>
      <c r="O20" s="18" t="s">
        <v>27</v>
      </c>
      <c r="P20" s="18" t="s">
        <v>28</v>
      </c>
      <c r="Q20" s="17" t="s">
        <v>29</v>
      </c>
      <c r="R20" s="13">
        <v>176</v>
      </c>
      <c r="S20" s="13">
        <v>224</v>
      </c>
      <c r="T20" s="13">
        <v>289</v>
      </c>
      <c r="U20" t="s">
        <v>30</v>
      </c>
      <c r="V20" t="s">
        <v>31</v>
      </c>
      <c r="W20" s="19" t="s">
        <v>32</v>
      </c>
      <c r="X20" t="s">
        <v>33</v>
      </c>
      <c r="Y20" t="s">
        <v>34</v>
      </c>
      <c r="Z20" s="3" t="s">
        <v>35</v>
      </c>
      <c r="AA20" s="4" t="s">
        <v>36</v>
      </c>
      <c r="AB20" s="5" t="s">
        <v>37</v>
      </c>
      <c r="AC20" s="5" t="s">
        <v>38</v>
      </c>
      <c r="AD20" s="3" t="s">
        <v>39</v>
      </c>
      <c r="AE20" s="3" t="s">
        <v>40</v>
      </c>
      <c r="AF20" s="3" t="s">
        <v>41</v>
      </c>
      <c r="AG20" t="s">
        <v>42</v>
      </c>
      <c r="AH20" t="s">
        <v>43</v>
      </c>
      <c r="AI20" t="s">
        <v>44</v>
      </c>
      <c r="AJ20" t="s">
        <v>45</v>
      </c>
      <c r="AK20" t="s">
        <v>46</v>
      </c>
      <c r="AL20" t="s">
        <v>47</v>
      </c>
      <c r="AM20" s="4" t="s">
        <v>48</v>
      </c>
      <c r="AN20" s="4" t="s">
        <v>49</v>
      </c>
      <c r="AO20" t="s">
        <v>50</v>
      </c>
      <c r="AP20" t="s">
        <v>51</v>
      </c>
      <c r="AQ20" t="s">
        <v>52</v>
      </c>
      <c r="AR20" t="s">
        <v>53</v>
      </c>
      <c r="AS20" t="s">
        <v>54</v>
      </c>
      <c r="AT20" t="s">
        <v>55</v>
      </c>
      <c r="AU20" t="s">
        <v>56</v>
      </c>
      <c r="AV20" t="s">
        <v>57</v>
      </c>
      <c r="AW20" t="s">
        <v>58</v>
      </c>
      <c r="AX20" t="s">
        <v>59</v>
      </c>
      <c r="AY20" t="s">
        <v>60</v>
      </c>
      <c r="AZ20" t="s">
        <v>61</v>
      </c>
      <c r="BA20" t="s">
        <v>62</v>
      </c>
      <c r="BB20" t="s">
        <v>63</v>
      </c>
      <c r="BC20" t="s">
        <v>64</v>
      </c>
      <c r="BD20" t="s">
        <v>65</v>
      </c>
      <c r="BE20" t="s">
        <v>66</v>
      </c>
      <c r="BF20" t="s">
        <v>67</v>
      </c>
      <c r="BG20" t="s">
        <v>68</v>
      </c>
      <c r="BH20" t="s">
        <v>69</v>
      </c>
      <c r="BI20" t="s">
        <v>70</v>
      </c>
      <c r="BJ20" t="s">
        <v>71</v>
      </c>
      <c r="BK20" t="s">
        <v>72</v>
      </c>
      <c r="BL20" t="s">
        <v>73</v>
      </c>
      <c r="BM20" t="s">
        <v>74</v>
      </c>
      <c r="BN20" t="s">
        <v>75</v>
      </c>
      <c r="BO20" t="s">
        <v>76</v>
      </c>
      <c r="BP20" t="s">
        <v>77</v>
      </c>
      <c r="BQ20" t="s">
        <v>78</v>
      </c>
      <c r="BR20" t="s">
        <v>79</v>
      </c>
      <c r="BS20" t="s">
        <v>80</v>
      </c>
      <c r="BT20" t="s">
        <v>81</v>
      </c>
      <c r="BU20" t="s">
        <v>82</v>
      </c>
      <c r="BV20" t="s">
        <v>83</v>
      </c>
      <c r="BW20" t="s">
        <v>84</v>
      </c>
      <c r="BX20" t="s">
        <v>85</v>
      </c>
      <c r="BY20" t="s">
        <v>86</v>
      </c>
      <c r="BZ20" t="s">
        <v>87</v>
      </c>
      <c r="CA20" t="s">
        <v>88</v>
      </c>
      <c r="CB20" t="s">
        <v>89</v>
      </c>
    </row>
    <row r="21" spans="1:80" x14ac:dyDescent="0.25">
      <c r="C21" s="20">
        <v>73</v>
      </c>
      <c r="J21" s="16"/>
      <c r="K21" s="21"/>
      <c r="L21" s="21"/>
      <c r="M21" s="21"/>
      <c r="N21" s="21"/>
      <c r="O21" s="21"/>
      <c r="P21" s="21"/>
      <c r="Q21" s="16"/>
      <c r="R21">
        <v>169</v>
      </c>
      <c r="S21" t="s">
        <v>90</v>
      </c>
      <c r="T21" t="s">
        <v>91</v>
      </c>
      <c r="V21" t="s">
        <v>92</v>
      </c>
      <c r="W21" t="s">
        <v>93</v>
      </c>
      <c r="BJ21" t="s">
        <v>94</v>
      </c>
      <c r="BK21" t="s">
        <v>95</v>
      </c>
      <c r="BN21" t="s">
        <v>96</v>
      </c>
      <c r="CA21">
        <v>1</v>
      </c>
      <c r="CB21">
        <v>212</v>
      </c>
    </row>
    <row r="22" spans="1:80" x14ac:dyDescent="0.25">
      <c r="C22" s="20">
        <v>74</v>
      </c>
      <c r="J22" s="16"/>
      <c r="K22" s="21"/>
      <c r="L22" s="21"/>
      <c r="M22" s="21"/>
      <c r="N22" s="21"/>
      <c r="O22" s="21"/>
      <c r="P22" s="21"/>
      <c r="Q22" s="16"/>
      <c r="R22">
        <v>168</v>
      </c>
      <c r="S22" t="s">
        <v>97</v>
      </c>
      <c r="T22" t="s">
        <v>98</v>
      </c>
      <c r="V22" t="s">
        <v>92</v>
      </c>
      <c r="W22" t="s">
        <v>99</v>
      </c>
      <c r="BJ22" t="s">
        <v>100</v>
      </c>
      <c r="BK22" t="s">
        <v>101</v>
      </c>
      <c r="BN22" t="s">
        <v>102</v>
      </c>
      <c r="CA22">
        <v>1</v>
      </c>
      <c r="CB22">
        <v>199</v>
      </c>
    </row>
    <row r="23" spans="1:80" x14ac:dyDescent="0.25">
      <c r="C23" s="20">
        <v>75</v>
      </c>
      <c r="J23" s="16"/>
      <c r="K23" s="21"/>
      <c r="L23" s="21"/>
      <c r="M23" s="21"/>
      <c r="N23" s="21"/>
      <c r="O23" s="21"/>
      <c r="P23" s="21"/>
      <c r="Q23" s="16"/>
      <c r="R23">
        <v>167</v>
      </c>
      <c r="S23" t="s">
        <v>103</v>
      </c>
      <c r="T23" t="s">
        <v>104</v>
      </c>
      <c r="V23" t="s">
        <v>92</v>
      </c>
      <c r="W23" t="s">
        <v>105</v>
      </c>
      <c r="BJ23" t="s">
        <v>106</v>
      </c>
      <c r="BK23" t="s">
        <v>95</v>
      </c>
      <c r="BN23" t="s">
        <v>107</v>
      </c>
      <c r="CA23">
        <v>1</v>
      </c>
      <c r="CB23">
        <v>213</v>
      </c>
    </row>
    <row r="24" spans="1:80" x14ac:dyDescent="0.25">
      <c r="C24" s="20">
        <v>76</v>
      </c>
      <c r="J24" s="16"/>
      <c r="K24" s="21"/>
      <c r="L24" s="21"/>
      <c r="M24" s="21"/>
      <c r="N24" s="21"/>
      <c r="O24" s="21"/>
      <c r="P24" s="21"/>
      <c r="Q24" s="16"/>
      <c r="R24">
        <v>166</v>
      </c>
      <c r="S24" t="s">
        <v>108</v>
      </c>
      <c r="T24" t="s">
        <v>90</v>
      </c>
      <c r="V24" t="s">
        <v>92</v>
      </c>
      <c r="W24" t="s">
        <v>109</v>
      </c>
      <c r="BJ24" t="s">
        <v>110</v>
      </c>
      <c r="BK24" t="s">
        <v>101</v>
      </c>
      <c r="BM24" t="s">
        <v>111</v>
      </c>
      <c r="CB24">
        <v>183</v>
      </c>
    </row>
    <row r="25" spans="1:80" x14ac:dyDescent="0.25">
      <c r="C25" s="20">
        <v>77</v>
      </c>
      <c r="J25" s="16"/>
      <c r="K25" s="21"/>
      <c r="L25" s="21"/>
      <c r="M25" s="21"/>
      <c r="N25" s="21"/>
      <c r="O25" s="21"/>
      <c r="P25" s="21"/>
      <c r="Q25" s="16"/>
      <c r="R25">
        <v>165</v>
      </c>
      <c r="S25" t="s">
        <v>112</v>
      </c>
      <c r="T25" t="s">
        <v>113</v>
      </c>
      <c r="V25" t="s">
        <v>92</v>
      </c>
      <c r="W25" t="s">
        <v>114</v>
      </c>
      <c r="BJ25" t="s">
        <v>115</v>
      </c>
      <c r="BK25" t="s">
        <v>95</v>
      </c>
      <c r="BN25" t="s">
        <v>116</v>
      </c>
      <c r="CA25">
        <v>1</v>
      </c>
      <c r="CB25">
        <v>197</v>
      </c>
    </row>
    <row r="26" spans="1:80" x14ac:dyDescent="0.25">
      <c r="C26" s="20">
        <v>78</v>
      </c>
      <c r="J26" s="16"/>
      <c r="K26" s="21"/>
      <c r="L26" s="21"/>
      <c r="M26" s="21"/>
      <c r="N26" s="21"/>
      <c r="O26" s="21"/>
      <c r="P26" s="21"/>
      <c r="Q26" s="16"/>
      <c r="R26">
        <v>164</v>
      </c>
      <c r="S26" t="s">
        <v>117</v>
      </c>
      <c r="T26" t="s">
        <v>112</v>
      </c>
      <c r="V26" t="s">
        <v>92</v>
      </c>
      <c r="W26" t="s">
        <v>118</v>
      </c>
      <c r="BJ26" t="s">
        <v>119</v>
      </c>
      <c r="BK26" t="s">
        <v>101</v>
      </c>
      <c r="BN26" t="s">
        <v>120</v>
      </c>
      <c r="CA26">
        <v>1</v>
      </c>
      <c r="CB26">
        <v>182</v>
      </c>
    </row>
    <row r="27" spans="1:80" x14ac:dyDescent="0.25">
      <c r="C27" s="20">
        <v>27</v>
      </c>
      <c r="J27" s="16"/>
      <c r="K27" s="21"/>
      <c r="L27" s="21"/>
      <c r="M27" s="21"/>
      <c r="N27" s="21"/>
      <c r="O27" s="21"/>
      <c r="P27" s="21"/>
      <c r="Q27" s="16"/>
      <c r="R27">
        <v>163</v>
      </c>
      <c r="S27" t="s">
        <v>121</v>
      </c>
      <c r="T27" t="s">
        <v>122</v>
      </c>
      <c r="V27" t="s">
        <v>92</v>
      </c>
      <c r="W27" t="s">
        <v>123</v>
      </c>
      <c r="BJ27" t="s">
        <v>124</v>
      </c>
      <c r="BK27" t="s">
        <v>95</v>
      </c>
      <c r="BN27" t="s">
        <v>125</v>
      </c>
      <c r="CA27">
        <v>1</v>
      </c>
      <c r="CB27">
        <v>211</v>
      </c>
    </row>
    <row r="28" spans="1:80" x14ac:dyDescent="0.25">
      <c r="C28" s="20">
        <v>25</v>
      </c>
      <c r="J28" s="16"/>
      <c r="K28" s="21"/>
      <c r="L28" s="21"/>
      <c r="M28" s="21"/>
      <c r="N28" s="21"/>
      <c r="O28" s="21"/>
      <c r="P28" s="21"/>
      <c r="Q28" s="16"/>
      <c r="R28">
        <v>162</v>
      </c>
      <c r="S28" t="s">
        <v>126</v>
      </c>
      <c r="T28" t="s">
        <v>127</v>
      </c>
      <c r="V28" t="s">
        <v>92</v>
      </c>
      <c r="W28" t="s">
        <v>128</v>
      </c>
      <c r="BJ28" t="s">
        <v>129</v>
      </c>
      <c r="BK28" t="s">
        <v>101</v>
      </c>
      <c r="BM28" t="s">
        <v>130</v>
      </c>
      <c r="CB28">
        <v>198</v>
      </c>
    </row>
    <row r="29" spans="1:80" x14ac:dyDescent="0.25">
      <c r="C29" s="20">
        <v>31</v>
      </c>
      <c r="J29" s="16"/>
      <c r="K29" s="21"/>
      <c r="L29" s="21"/>
      <c r="M29" s="21"/>
      <c r="N29" s="21"/>
      <c r="O29" s="21"/>
      <c r="P29" s="21"/>
      <c r="Q29" s="16"/>
      <c r="R29">
        <v>161</v>
      </c>
      <c r="S29" t="s">
        <v>131</v>
      </c>
      <c r="T29" t="s">
        <v>132</v>
      </c>
      <c r="V29" t="s">
        <v>92</v>
      </c>
      <c r="W29" t="s">
        <v>133</v>
      </c>
      <c r="BJ29" t="s">
        <v>134</v>
      </c>
      <c r="BK29" t="s">
        <v>135</v>
      </c>
      <c r="BN29" t="s">
        <v>136</v>
      </c>
      <c r="CA29">
        <v>1</v>
      </c>
      <c r="CB29">
        <v>210</v>
      </c>
    </row>
    <row r="30" spans="1:80" x14ac:dyDescent="0.25">
      <c r="C30" s="20">
        <v>29</v>
      </c>
      <c r="J30" s="16"/>
      <c r="K30" s="21"/>
      <c r="L30" s="21"/>
      <c r="M30" s="21"/>
      <c r="N30" s="21"/>
      <c r="O30" s="21"/>
      <c r="P30" s="21"/>
      <c r="Q30" s="16"/>
      <c r="R30">
        <v>160</v>
      </c>
      <c r="S30" t="s">
        <v>137</v>
      </c>
      <c r="T30" t="s">
        <v>103</v>
      </c>
      <c r="V30" t="s">
        <v>92</v>
      </c>
      <c r="W30" t="s">
        <v>138</v>
      </c>
      <c r="BJ30" t="s">
        <v>139</v>
      </c>
      <c r="BK30" t="s">
        <v>140</v>
      </c>
      <c r="BN30" t="s">
        <v>141</v>
      </c>
      <c r="CA30">
        <v>1</v>
      </c>
      <c r="CB30">
        <v>168</v>
      </c>
    </row>
    <row r="31" spans="1:80" x14ac:dyDescent="0.25">
      <c r="C31" s="20">
        <v>22</v>
      </c>
      <c r="G31" s="16"/>
      <c r="H31" s="16"/>
      <c r="I31" s="16"/>
      <c r="J31" s="16"/>
      <c r="K31" s="21"/>
      <c r="L31" s="21"/>
      <c r="M31" s="21"/>
      <c r="N31" s="21"/>
      <c r="O31" s="21"/>
      <c r="P31" s="21"/>
      <c r="Q31" s="16"/>
      <c r="R31"/>
      <c r="S31"/>
      <c r="T31" t="s">
        <v>121</v>
      </c>
      <c r="V31" t="s">
        <v>92</v>
      </c>
      <c r="W31" t="s">
        <v>142</v>
      </c>
      <c r="BJ31" t="s">
        <v>143</v>
      </c>
      <c r="BM31" t="s">
        <v>144</v>
      </c>
      <c r="CA31">
        <v>1</v>
      </c>
      <c r="CB31">
        <v>167</v>
      </c>
    </row>
    <row r="32" spans="1:80" x14ac:dyDescent="0.25">
      <c r="C32" s="20">
        <v>21</v>
      </c>
      <c r="G32" s="16"/>
      <c r="H32" s="16"/>
      <c r="J32" s="16"/>
      <c r="K32" s="21"/>
      <c r="L32" s="21"/>
      <c r="M32" s="21"/>
      <c r="N32" s="21"/>
      <c r="O32" s="21"/>
      <c r="P32" s="21"/>
      <c r="Q32" s="16"/>
      <c r="R32"/>
      <c r="S32"/>
      <c r="T32" t="s">
        <v>117</v>
      </c>
      <c r="V32" t="s">
        <v>92</v>
      </c>
      <c r="W32" t="s">
        <v>145</v>
      </c>
      <c r="BJ32" t="s">
        <v>146</v>
      </c>
      <c r="BM32" t="s">
        <v>147</v>
      </c>
      <c r="CB32">
        <v>150</v>
      </c>
    </row>
    <row r="33" spans="2:80" x14ac:dyDescent="0.25">
      <c r="C33" s="20">
        <v>19</v>
      </c>
      <c r="E33" s="22" t="s">
        <v>148</v>
      </c>
      <c r="H33" s="16"/>
      <c r="J33" s="16" t="s">
        <v>149</v>
      </c>
      <c r="K33" s="21"/>
      <c r="L33" s="21" t="s">
        <v>150</v>
      </c>
      <c r="M33" s="21"/>
      <c r="N33" s="21" t="s">
        <v>8</v>
      </c>
      <c r="O33" s="21"/>
      <c r="P33" s="21" t="s">
        <v>9</v>
      </c>
      <c r="Q33" s="16"/>
      <c r="R33"/>
      <c r="S33"/>
      <c r="T33" t="s">
        <v>151</v>
      </c>
      <c r="V33" t="s">
        <v>92</v>
      </c>
      <c r="W33" s="23" t="s">
        <v>149</v>
      </c>
      <c r="BJ33" t="s">
        <v>152</v>
      </c>
      <c r="BM33" t="s">
        <v>153</v>
      </c>
      <c r="CA33">
        <v>-1</v>
      </c>
      <c r="CB33">
        <v>166</v>
      </c>
    </row>
    <row r="34" spans="2:80" x14ac:dyDescent="0.25">
      <c r="C34" s="20">
        <v>20</v>
      </c>
      <c r="E34" s="22" t="s">
        <v>154</v>
      </c>
      <c r="J34" s="16" t="s">
        <v>155</v>
      </c>
      <c r="K34" s="21"/>
      <c r="L34" s="21" t="s">
        <v>150</v>
      </c>
      <c r="M34" s="21"/>
      <c r="N34" s="21" t="s">
        <v>8</v>
      </c>
      <c r="O34" s="21"/>
      <c r="P34" s="21" t="s">
        <v>9</v>
      </c>
      <c r="Q34" s="16"/>
      <c r="R34"/>
      <c r="S34"/>
      <c r="T34" t="s">
        <v>156</v>
      </c>
      <c r="V34" t="s">
        <v>92</v>
      </c>
      <c r="W34" s="23" t="s">
        <v>155</v>
      </c>
      <c r="BJ34" t="s">
        <v>157</v>
      </c>
      <c r="BM34" t="s">
        <v>144</v>
      </c>
      <c r="CA34">
        <v>-1</v>
      </c>
      <c r="CB34">
        <v>149</v>
      </c>
    </row>
    <row r="35" spans="2:80" x14ac:dyDescent="0.25">
      <c r="C35" s="20">
        <v>79</v>
      </c>
      <c r="J35" s="16"/>
      <c r="K35" s="21"/>
      <c r="L35" s="21"/>
      <c r="M35" s="21"/>
      <c r="N35" s="21"/>
      <c r="O35" s="21"/>
      <c r="P35" s="21"/>
      <c r="Q35" s="16"/>
      <c r="R35">
        <v>153</v>
      </c>
      <c r="S35" t="s">
        <v>158</v>
      </c>
      <c r="T35" t="s">
        <v>159</v>
      </c>
      <c r="V35" t="s">
        <v>92</v>
      </c>
      <c r="W35" s="16" t="s">
        <v>160</v>
      </c>
      <c r="BJ35" t="s">
        <v>161</v>
      </c>
      <c r="BK35" t="s">
        <v>162</v>
      </c>
      <c r="BL35" t="s">
        <v>163</v>
      </c>
      <c r="BM35" t="s">
        <v>164</v>
      </c>
      <c r="CA35">
        <v>1</v>
      </c>
      <c r="CB35">
        <v>196</v>
      </c>
    </row>
    <row r="36" spans="2:80" x14ac:dyDescent="0.25">
      <c r="C36" s="20">
        <v>80</v>
      </c>
      <c r="J36" s="16"/>
      <c r="K36" s="21"/>
      <c r="L36" s="21"/>
      <c r="M36" s="21"/>
      <c r="N36" s="21"/>
      <c r="O36" s="21"/>
      <c r="P36" s="21"/>
      <c r="Q36" s="16"/>
      <c r="R36">
        <v>152</v>
      </c>
      <c r="S36" t="s">
        <v>165</v>
      </c>
      <c r="T36" t="s">
        <v>166</v>
      </c>
      <c r="V36" t="s">
        <v>92</v>
      </c>
      <c r="W36" s="16" t="s">
        <v>167</v>
      </c>
      <c r="BJ36" t="s">
        <v>168</v>
      </c>
      <c r="BK36" t="s">
        <v>162</v>
      </c>
      <c r="BL36" t="s">
        <v>169</v>
      </c>
      <c r="BM36" t="s">
        <v>170</v>
      </c>
      <c r="CA36">
        <v>1</v>
      </c>
      <c r="CB36">
        <v>209</v>
      </c>
    </row>
    <row r="37" spans="2:80" x14ac:dyDescent="0.25">
      <c r="C37" s="20">
        <v>41</v>
      </c>
      <c r="E37" s="24" t="s">
        <v>171</v>
      </c>
      <c r="H37" s="25"/>
      <c r="J37" s="16" t="s">
        <v>172</v>
      </c>
      <c r="K37" s="21"/>
      <c r="L37" s="21"/>
      <c r="M37" s="21"/>
      <c r="N37" s="21"/>
      <c r="O37" s="21"/>
      <c r="P37" s="21" t="s">
        <v>173</v>
      </c>
      <c r="Q37" s="16"/>
      <c r="R37" s="1">
        <v>142</v>
      </c>
      <c r="S37" s="1" t="s">
        <v>174</v>
      </c>
      <c r="T37" s="1" t="s">
        <v>175</v>
      </c>
      <c r="V37" t="s">
        <v>176</v>
      </c>
      <c r="W37" s="16" t="s">
        <v>177</v>
      </c>
      <c r="AL37" t="s">
        <v>178</v>
      </c>
      <c r="AM37" s="4" t="s">
        <v>179</v>
      </c>
      <c r="AN37" s="4" t="s">
        <v>180</v>
      </c>
      <c r="AR37" t="s">
        <v>181</v>
      </c>
      <c r="AS37" t="s">
        <v>181</v>
      </c>
      <c r="AT37" t="s">
        <v>182</v>
      </c>
      <c r="AV37" t="s">
        <v>181</v>
      </c>
      <c r="AZ37" t="s">
        <v>183</v>
      </c>
      <c r="BA37" s="26" t="s">
        <v>172</v>
      </c>
      <c r="BD37" t="s">
        <v>184</v>
      </c>
      <c r="BF37" t="s">
        <v>185</v>
      </c>
      <c r="BG37" t="s">
        <v>186</v>
      </c>
      <c r="BM37" t="s">
        <v>187</v>
      </c>
      <c r="CA37">
        <v>2</v>
      </c>
      <c r="CB37">
        <v>207</v>
      </c>
    </row>
    <row r="38" spans="2:80" x14ac:dyDescent="0.25">
      <c r="C38" s="20">
        <v>48</v>
      </c>
      <c r="E38" s="24" t="s">
        <v>188</v>
      </c>
      <c r="H38" s="25"/>
      <c r="J38" s="16" t="s">
        <v>189</v>
      </c>
      <c r="K38" s="21"/>
      <c r="L38" s="21"/>
      <c r="M38" s="21"/>
      <c r="N38" s="21"/>
      <c r="O38" s="21"/>
      <c r="P38" s="21" t="s">
        <v>173</v>
      </c>
      <c r="Q38" s="16"/>
      <c r="R38" s="1">
        <v>140</v>
      </c>
      <c r="S38" s="1" t="s">
        <v>190</v>
      </c>
      <c r="T38" s="1" t="s">
        <v>191</v>
      </c>
      <c r="V38" t="s">
        <v>176</v>
      </c>
      <c r="W38" s="16" t="s">
        <v>192</v>
      </c>
      <c r="AL38" t="s">
        <v>193</v>
      </c>
      <c r="AM38" s="4" t="s">
        <v>194</v>
      </c>
      <c r="AN38" s="4" t="s">
        <v>195</v>
      </c>
      <c r="AP38" t="s">
        <v>196</v>
      </c>
      <c r="AQ38" t="s">
        <v>196</v>
      </c>
      <c r="AR38" t="s">
        <v>196</v>
      </c>
      <c r="AS38" t="s">
        <v>196</v>
      </c>
      <c r="AT38" t="s">
        <v>196</v>
      </c>
      <c r="AU38" t="s">
        <v>196</v>
      </c>
      <c r="AV38" t="s">
        <v>197</v>
      </c>
      <c r="AW38" t="s">
        <v>198</v>
      </c>
      <c r="AZ38" t="s">
        <v>199</v>
      </c>
      <c r="BA38" s="26" t="s">
        <v>189</v>
      </c>
      <c r="BD38" t="s">
        <v>200</v>
      </c>
      <c r="BF38" t="s">
        <v>201</v>
      </c>
      <c r="BG38" t="s">
        <v>202</v>
      </c>
      <c r="BM38" t="s">
        <v>203</v>
      </c>
      <c r="CA38">
        <v>2</v>
      </c>
      <c r="CB38">
        <v>178</v>
      </c>
    </row>
    <row r="39" spans="2:80" x14ac:dyDescent="0.25">
      <c r="C39" s="20">
        <v>50</v>
      </c>
      <c r="G39" s="25"/>
      <c r="H39" s="25"/>
      <c r="J39" s="16"/>
      <c r="K39" s="21"/>
      <c r="L39" s="21"/>
      <c r="M39" s="21"/>
      <c r="N39" s="21"/>
      <c r="O39" s="21"/>
      <c r="P39" s="21"/>
      <c r="Q39" s="16"/>
      <c r="R39">
        <v>139</v>
      </c>
      <c r="S39" t="s">
        <v>204</v>
      </c>
      <c r="T39" t="s">
        <v>205</v>
      </c>
      <c r="V39" t="s">
        <v>176</v>
      </c>
      <c r="W39" s="16" t="s">
        <v>206</v>
      </c>
      <c r="AN39" s="4" t="s">
        <v>207</v>
      </c>
      <c r="AO39" t="s">
        <v>208</v>
      </c>
      <c r="AP39" t="s">
        <v>209</v>
      </c>
      <c r="AQ39" t="s">
        <v>209</v>
      </c>
      <c r="AR39" t="s">
        <v>209</v>
      </c>
      <c r="AS39" t="s">
        <v>209</v>
      </c>
      <c r="AT39" t="s">
        <v>209</v>
      </c>
      <c r="AU39" t="s">
        <v>209</v>
      </c>
      <c r="AV39" t="s">
        <v>210</v>
      </c>
      <c r="AW39" t="s">
        <v>211</v>
      </c>
      <c r="AZ39" t="s">
        <v>212</v>
      </c>
      <c r="BA39" s="25" t="s">
        <v>213</v>
      </c>
      <c r="BE39" t="s">
        <v>214</v>
      </c>
      <c r="BF39" t="s">
        <v>215</v>
      </c>
      <c r="BG39" t="s">
        <v>216</v>
      </c>
      <c r="BJ39" t="s">
        <v>217</v>
      </c>
      <c r="BM39" t="s">
        <v>218</v>
      </c>
      <c r="CA39">
        <v>2</v>
      </c>
      <c r="CB39">
        <v>162</v>
      </c>
    </row>
    <row r="40" spans="2:80" x14ac:dyDescent="0.25">
      <c r="C40" s="20">
        <v>52</v>
      </c>
      <c r="E40" s="24" t="s">
        <v>219</v>
      </c>
      <c r="H40" s="25"/>
      <c r="J40" s="16" t="s">
        <v>220</v>
      </c>
      <c r="K40" s="21"/>
      <c r="L40" s="21"/>
      <c r="M40" s="21"/>
      <c r="N40" s="21"/>
      <c r="O40" s="21"/>
      <c r="P40" s="21" t="s">
        <v>173</v>
      </c>
      <c r="Q40" s="16"/>
      <c r="R40" s="1">
        <v>138</v>
      </c>
      <c r="S40" s="1" t="s">
        <v>221</v>
      </c>
      <c r="T40" s="1" t="s">
        <v>222</v>
      </c>
      <c r="V40" t="s">
        <v>176</v>
      </c>
      <c r="W40" s="16" t="s">
        <v>223</v>
      </c>
      <c r="AL40" t="s">
        <v>224</v>
      </c>
      <c r="AM40" s="4" t="s">
        <v>225</v>
      </c>
      <c r="AN40" s="4" t="s">
        <v>226</v>
      </c>
      <c r="AO40" t="s">
        <v>227</v>
      </c>
      <c r="AQ40" t="s">
        <v>228</v>
      </c>
      <c r="AS40" t="s">
        <v>228</v>
      </c>
      <c r="AT40" t="s">
        <v>182</v>
      </c>
      <c r="AV40" t="s">
        <v>229</v>
      </c>
      <c r="AZ40" t="s">
        <v>230</v>
      </c>
      <c r="BA40" s="26" t="s">
        <v>220</v>
      </c>
      <c r="BE40" t="s">
        <v>231</v>
      </c>
      <c r="BF40" t="s">
        <v>232</v>
      </c>
      <c r="BJ40" t="s">
        <v>233</v>
      </c>
      <c r="BM40" t="s">
        <v>147</v>
      </c>
      <c r="CA40">
        <v>2</v>
      </c>
      <c r="CB40">
        <v>177</v>
      </c>
    </row>
    <row r="41" spans="2:80" x14ac:dyDescent="0.25">
      <c r="C41" s="20">
        <v>56</v>
      </c>
      <c r="J41" s="16"/>
      <c r="K41" s="21"/>
      <c r="L41" s="16"/>
      <c r="M41" s="16"/>
      <c r="N41" s="21"/>
      <c r="O41" s="16"/>
      <c r="P41" s="16"/>
      <c r="Q41" s="16"/>
      <c r="R41" s="1">
        <v>137</v>
      </c>
      <c r="S41" s="1" t="s">
        <v>234</v>
      </c>
      <c r="T41" s="1" t="s">
        <v>235</v>
      </c>
      <c r="V41" t="s">
        <v>176</v>
      </c>
      <c r="W41" s="16" t="s">
        <v>236</v>
      </c>
      <c r="AL41" t="s">
        <v>237</v>
      </c>
      <c r="AM41" s="4" t="s">
        <v>238</v>
      </c>
      <c r="AN41" s="4" t="s">
        <v>239</v>
      </c>
      <c r="AQ41" t="s">
        <v>240</v>
      </c>
      <c r="AZ41" t="s">
        <v>241</v>
      </c>
      <c r="BA41" t="s">
        <v>242</v>
      </c>
      <c r="BD41" t="s">
        <v>200</v>
      </c>
      <c r="BF41" t="s">
        <v>243</v>
      </c>
      <c r="BJ41" t="s">
        <v>244</v>
      </c>
      <c r="BM41" t="s">
        <v>203</v>
      </c>
      <c r="CA41">
        <v>2</v>
      </c>
      <c r="CB41">
        <v>135</v>
      </c>
    </row>
    <row r="42" spans="2:80" x14ac:dyDescent="0.25">
      <c r="C42" s="20">
        <v>36</v>
      </c>
      <c r="J42" s="16"/>
      <c r="K42" s="21"/>
      <c r="L42" s="16"/>
      <c r="M42" s="16"/>
      <c r="N42" s="21"/>
      <c r="O42" s="16"/>
      <c r="P42" s="16"/>
      <c r="Q42" s="16"/>
      <c r="R42" s="1">
        <v>136</v>
      </c>
      <c r="S42" s="1" t="s">
        <v>245</v>
      </c>
      <c r="T42" s="1" t="s">
        <v>246</v>
      </c>
      <c r="V42" t="s">
        <v>176</v>
      </c>
      <c r="W42" s="16" t="s">
        <v>247</v>
      </c>
      <c r="AL42" t="s">
        <v>248</v>
      </c>
      <c r="AM42" s="4" t="s">
        <v>249</v>
      </c>
      <c r="AN42" s="4" t="s">
        <v>250</v>
      </c>
      <c r="AQ42" t="s">
        <v>251</v>
      </c>
      <c r="AS42" t="s">
        <v>251</v>
      </c>
      <c r="AT42" t="s">
        <v>252</v>
      </c>
      <c r="AV42" t="s">
        <v>253</v>
      </c>
      <c r="AZ42" t="s">
        <v>254</v>
      </c>
      <c r="BA42" t="s">
        <v>255</v>
      </c>
      <c r="BF42" t="s">
        <v>256</v>
      </c>
      <c r="BH42" t="s">
        <v>257</v>
      </c>
      <c r="BJ42" t="s">
        <v>258</v>
      </c>
      <c r="BM42" t="s">
        <v>259</v>
      </c>
      <c r="CA42">
        <v>2</v>
      </c>
      <c r="CB42">
        <v>147</v>
      </c>
    </row>
    <row r="43" spans="2:80" x14ac:dyDescent="0.25">
      <c r="C43" s="20">
        <v>54</v>
      </c>
      <c r="J43" s="16"/>
      <c r="K43" s="21"/>
      <c r="L43" s="16"/>
      <c r="M43" s="16"/>
      <c r="N43" s="21"/>
      <c r="O43" s="16"/>
      <c r="P43" s="16"/>
      <c r="Q43" s="16"/>
      <c r="R43" s="1">
        <v>135</v>
      </c>
      <c r="S43" s="1" t="s">
        <v>260</v>
      </c>
      <c r="T43" s="1" t="s">
        <v>261</v>
      </c>
      <c r="V43" t="s">
        <v>176</v>
      </c>
      <c r="W43" s="16" t="s">
        <v>262</v>
      </c>
      <c r="AH43" t="s">
        <v>263</v>
      </c>
      <c r="AI43" t="s">
        <v>263</v>
      </c>
      <c r="AM43" s="4" t="s">
        <v>264</v>
      </c>
      <c r="AQ43" t="s">
        <v>265</v>
      </c>
      <c r="AZ43" t="s">
        <v>266</v>
      </c>
      <c r="BA43" t="s">
        <v>267</v>
      </c>
      <c r="BE43" t="s">
        <v>214</v>
      </c>
      <c r="BF43" t="s">
        <v>185</v>
      </c>
      <c r="BG43" t="s">
        <v>268</v>
      </c>
      <c r="BH43" t="s">
        <v>269</v>
      </c>
      <c r="BJ43" t="s">
        <v>270</v>
      </c>
      <c r="BM43" t="s">
        <v>147</v>
      </c>
      <c r="CA43">
        <v>2</v>
      </c>
      <c r="CB43">
        <v>146</v>
      </c>
    </row>
    <row r="44" spans="2:80" x14ac:dyDescent="0.25">
      <c r="C44" s="20">
        <v>58</v>
      </c>
      <c r="E44" s="27" t="s">
        <v>271</v>
      </c>
      <c r="J44" s="16" t="s">
        <v>272</v>
      </c>
      <c r="K44" s="21"/>
      <c r="L44" s="16"/>
      <c r="M44" s="16"/>
      <c r="N44" s="21"/>
      <c r="O44" s="16"/>
      <c r="P44" s="16" t="s">
        <v>273</v>
      </c>
      <c r="Q44" s="16"/>
      <c r="R44">
        <v>134</v>
      </c>
      <c r="S44" t="s">
        <v>274</v>
      </c>
      <c r="T44" t="s">
        <v>190</v>
      </c>
      <c r="V44" t="s">
        <v>176</v>
      </c>
      <c r="W44" s="16" t="s">
        <v>275</v>
      </c>
      <c r="AH44" t="s">
        <v>276</v>
      </c>
      <c r="AI44" t="s">
        <v>276</v>
      </c>
      <c r="AJ44" t="s">
        <v>276</v>
      </c>
      <c r="AK44" t="s">
        <v>276</v>
      </c>
      <c r="AQ44" t="s">
        <v>277</v>
      </c>
      <c r="BA44" s="27" t="s">
        <v>272</v>
      </c>
      <c r="BE44" t="s">
        <v>231</v>
      </c>
      <c r="BF44" t="s">
        <v>201</v>
      </c>
      <c r="BG44" t="s">
        <v>278</v>
      </c>
      <c r="BJ44" t="s">
        <v>279</v>
      </c>
      <c r="BM44" t="s">
        <v>280</v>
      </c>
      <c r="CA44">
        <v>2</v>
      </c>
      <c r="CB44">
        <v>145</v>
      </c>
    </row>
    <row r="45" spans="2:80" x14ac:dyDescent="0.25">
      <c r="B45">
        <v>71</v>
      </c>
      <c r="C45" s="20"/>
      <c r="E45" s="27" t="s">
        <v>281</v>
      </c>
      <c r="J45" s="16" t="s">
        <v>282</v>
      </c>
      <c r="K45" s="21"/>
      <c r="L45" s="16"/>
      <c r="M45" s="16" t="s">
        <v>283</v>
      </c>
      <c r="N45" s="21"/>
      <c r="O45" s="16"/>
      <c r="P45" s="16"/>
      <c r="Q45" s="16"/>
      <c r="R45"/>
      <c r="S45"/>
      <c r="T45" t="s">
        <v>284</v>
      </c>
      <c r="V45" t="s">
        <v>285</v>
      </c>
      <c r="W45" s="16" t="s">
        <v>286</v>
      </c>
      <c r="BB45" t="s">
        <v>287</v>
      </c>
      <c r="BF45" t="s">
        <v>288</v>
      </c>
      <c r="BM45" s="27" t="s">
        <v>282</v>
      </c>
      <c r="CA45">
        <v>-1</v>
      </c>
      <c r="CB45">
        <v>48</v>
      </c>
    </row>
    <row r="46" spans="2:80" x14ac:dyDescent="0.25">
      <c r="B46">
        <v>24</v>
      </c>
      <c r="C46" s="20"/>
      <c r="J46" s="16"/>
      <c r="K46" s="21"/>
      <c r="L46" s="16"/>
      <c r="M46" s="16"/>
      <c r="N46" s="21"/>
      <c r="O46" s="16"/>
      <c r="P46" s="16"/>
      <c r="Q46" s="16"/>
      <c r="R46"/>
      <c r="S46"/>
      <c r="T46" t="s">
        <v>289</v>
      </c>
      <c r="V46" t="s">
        <v>285</v>
      </c>
      <c r="W46" s="16" t="s">
        <v>290</v>
      </c>
      <c r="BB46" t="s">
        <v>291</v>
      </c>
      <c r="BF46" t="s">
        <v>292</v>
      </c>
      <c r="BM46" t="s">
        <v>293</v>
      </c>
      <c r="CA46">
        <v>-1</v>
      </c>
      <c r="CB46">
        <v>47</v>
      </c>
    </row>
    <row r="47" spans="2:80" x14ac:dyDescent="0.25">
      <c r="B47">
        <v>76</v>
      </c>
      <c r="C47" s="20"/>
      <c r="E47" s="27" t="s">
        <v>294</v>
      </c>
      <c r="J47" s="16" t="s">
        <v>295</v>
      </c>
      <c r="K47" s="21"/>
      <c r="L47" s="16" t="s">
        <v>150</v>
      </c>
      <c r="M47" s="16"/>
      <c r="N47" s="21" t="s">
        <v>8</v>
      </c>
      <c r="O47" s="16"/>
      <c r="P47" s="16" t="s">
        <v>296</v>
      </c>
      <c r="Q47" s="16"/>
      <c r="R47"/>
      <c r="S47"/>
      <c r="T47" t="s">
        <v>297</v>
      </c>
      <c r="V47" t="s">
        <v>285</v>
      </c>
      <c r="W47" s="28" t="s">
        <v>295</v>
      </c>
      <c r="BB47" t="s">
        <v>298</v>
      </c>
      <c r="BF47" t="s">
        <v>299</v>
      </c>
      <c r="BM47" t="s">
        <v>300</v>
      </c>
      <c r="CA47">
        <v>-1</v>
      </c>
      <c r="CB47">
        <v>32</v>
      </c>
    </row>
    <row r="48" spans="2:80" x14ac:dyDescent="0.25">
      <c r="B48">
        <v>65</v>
      </c>
      <c r="C48" s="20"/>
      <c r="E48" s="22" t="s">
        <v>301</v>
      </c>
      <c r="J48" s="16" t="s">
        <v>302</v>
      </c>
      <c r="K48" s="21"/>
      <c r="L48" s="16"/>
      <c r="M48" s="16"/>
      <c r="N48" s="21"/>
      <c r="O48" s="16"/>
      <c r="P48" s="16" t="s">
        <v>296</v>
      </c>
      <c r="Q48" s="16"/>
      <c r="R48"/>
      <c r="S48"/>
      <c r="T48" t="s">
        <v>303</v>
      </c>
      <c r="V48" t="s">
        <v>285</v>
      </c>
      <c r="W48" s="16" t="s">
        <v>304</v>
      </c>
      <c r="BB48" s="29" t="s">
        <v>302</v>
      </c>
      <c r="BF48" t="s">
        <v>305</v>
      </c>
      <c r="BM48" t="s">
        <v>306</v>
      </c>
      <c r="CA48">
        <v>-1</v>
      </c>
      <c r="CB48">
        <v>65</v>
      </c>
    </row>
    <row r="49" spans="2:80" x14ac:dyDescent="0.25">
      <c r="B49" s="30"/>
      <c r="C49" s="30"/>
      <c r="D49" s="30"/>
      <c r="E49" s="27" t="s">
        <v>307</v>
      </c>
      <c r="J49" s="16" t="s">
        <v>308</v>
      </c>
      <c r="K49" s="21"/>
      <c r="L49" s="16"/>
      <c r="M49" s="16"/>
      <c r="N49" s="21"/>
      <c r="O49" s="16"/>
      <c r="P49" s="16" t="s">
        <v>296</v>
      </c>
      <c r="Q49" s="16"/>
      <c r="R49">
        <v>83</v>
      </c>
      <c r="S49" t="s">
        <v>309</v>
      </c>
      <c r="T49" t="s">
        <v>309</v>
      </c>
      <c r="V49" t="s">
        <v>285</v>
      </c>
      <c r="W49" s="16" t="s">
        <v>310</v>
      </c>
      <c r="X49" t="s">
        <v>308</v>
      </c>
      <c r="Y49" s="27" t="s">
        <v>308</v>
      </c>
      <c r="AB49" s="5" t="s">
        <v>311</v>
      </c>
      <c r="AC49" s="5" t="s">
        <v>311</v>
      </c>
      <c r="AP49" t="s">
        <v>312</v>
      </c>
      <c r="AQ49" t="s">
        <v>312</v>
      </c>
      <c r="AR49" t="s">
        <v>312</v>
      </c>
      <c r="AS49" t="s">
        <v>312</v>
      </c>
      <c r="AT49" t="s">
        <v>312</v>
      </c>
      <c r="AU49" t="s">
        <v>312</v>
      </c>
      <c r="AV49" t="s">
        <v>313</v>
      </c>
      <c r="AW49" t="s">
        <v>314</v>
      </c>
      <c r="AZ49" t="s">
        <v>315</v>
      </c>
      <c r="BB49" t="s">
        <v>316</v>
      </c>
      <c r="BC49" s="31" t="s">
        <v>317</v>
      </c>
      <c r="BD49" t="s">
        <v>184</v>
      </c>
      <c r="BF49" t="s">
        <v>318</v>
      </c>
      <c r="BH49" t="s">
        <v>319</v>
      </c>
      <c r="BJ49" t="s">
        <v>279</v>
      </c>
      <c r="BM49" t="s">
        <v>164</v>
      </c>
      <c r="BQ49" t="s">
        <v>320</v>
      </c>
      <c r="BR49" t="s">
        <v>320</v>
      </c>
      <c r="BS49" t="s">
        <v>321</v>
      </c>
      <c r="BT49" t="s">
        <v>321</v>
      </c>
      <c r="BU49" t="s">
        <v>321</v>
      </c>
      <c r="CA49">
        <v>1</v>
      </c>
      <c r="CB49">
        <v>4</v>
      </c>
    </row>
    <row r="50" spans="2:80" x14ac:dyDescent="0.25">
      <c r="B50" s="30"/>
      <c r="C50" s="30"/>
      <c r="D50" s="30"/>
      <c r="E50" s="27" t="s">
        <v>322</v>
      </c>
      <c r="J50" s="16" t="s">
        <v>323</v>
      </c>
      <c r="K50" s="21"/>
      <c r="L50" s="16"/>
      <c r="M50" s="16"/>
      <c r="N50" s="21"/>
      <c r="O50" s="16"/>
      <c r="P50" s="16" t="s">
        <v>296</v>
      </c>
      <c r="Q50" s="16"/>
      <c r="R50">
        <v>84</v>
      </c>
      <c r="S50" t="s">
        <v>324</v>
      </c>
      <c r="T50" t="s">
        <v>325</v>
      </c>
      <c r="V50" t="s">
        <v>285</v>
      </c>
      <c r="W50" s="16" t="s">
        <v>326</v>
      </c>
      <c r="X50" t="s">
        <v>323</v>
      </c>
      <c r="Y50" s="27" t="s">
        <v>323</v>
      </c>
      <c r="AB50" s="5" t="s">
        <v>327</v>
      </c>
      <c r="AC50" s="5" t="s">
        <v>327</v>
      </c>
      <c r="AP50" t="s">
        <v>328</v>
      </c>
      <c r="AQ50" t="s">
        <v>328</v>
      </c>
      <c r="AR50" t="s">
        <v>328</v>
      </c>
      <c r="AS50" t="s">
        <v>328</v>
      </c>
      <c r="AT50" t="s">
        <v>328</v>
      </c>
      <c r="AU50" t="s">
        <v>328</v>
      </c>
      <c r="AV50" t="s">
        <v>329</v>
      </c>
      <c r="AW50" t="s">
        <v>330</v>
      </c>
      <c r="AZ50" t="s">
        <v>331</v>
      </c>
      <c r="BB50" t="s">
        <v>332</v>
      </c>
      <c r="BC50" s="31" t="s">
        <v>333</v>
      </c>
      <c r="BD50" t="s">
        <v>200</v>
      </c>
      <c r="BF50" t="s">
        <v>232</v>
      </c>
      <c r="BH50" t="s">
        <v>334</v>
      </c>
      <c r="BJ50" t="s">
        <v>270</v>
      </c>
      <c r="BM50" t="s">
        <v>130</v>
      </c>
      <c r="BQ50" t="s">
        <v>335</v>
      </c>
      <c r="BR50" t="s">
        <v>335</v>
      </c>
      <c r="BS50" t="s">
        <v>336</v>
      </c>
      <c r="BT50" t="s">
        <v>336</v>
      </c>
      <c r="BU50" t="s">
        <v>336</v>
      </c>
      <c r="CA50">
        <v>1</v>
      </c>
      <c r="CB50">
        <v>2</v>
      </c>
    </row>
    <row r="51" spans="2:80" x14ac:dyDescent="0.25">
      <c r="B51" s="30"/>
      <c r="C51" s="30"/>
      <c r="D51" s="30"/>
      <c r="E51" s="27" t="s">
        <v>337</v>
      </c>
      <c r="J51" s="16" t="s">
        <v>338</v>
      </c>
      <c r="K51" s="21"/>
      <c r="L51" s="16"/>
      <c r="M51" s="16"/>
      <c r="N51" s="21"/>
      <c r="O51" s="16"/>
      <c r="P51" s="16" t="s">
        <v>296</v>
      </c>
      <c r="Q51" s="16"/>
      <c r="R51">
        <v>85</v>
      </c>
      <c r="S51" t="s">
        <v>339</v>
      </c>
      <c r="T51" t="s">
        <v>340</v>
      </c>
      <c r="V51" t="s">
        <v>285</v>
      </c>
      <c r="W51" s="16" t="s">
        <v>341</v>
      </c>
      <c r="X51" t="s">
        <v>338</v>
      </c>
      <c r="Y51" s="27" t="s">
        <v>338</v>
      </c>
      <c r="AB51" s="5" t="s">
        <v>342</v>
      </c>
      <c r="AC51" s="5" t="s">
        <v>342</v>
      </c>
      <c r="AQ51" t="s">
        <v>343</v>
      </c>
      <c r="AS51" t="s">
        <v>343</v>
      </c>
      <c r="AT51" t="s">
        <v>344</v>
      </c>
      <c r="AV51" t="s">
        <v>345</v>
      </c>
      <c r="AZ51" t="s">
        <v>346</v>
      </c>
      <c r="BB51" t="s">
        <v>347</v>
      </c>
      <c r="BC51" s="31" t="s">
        <v>348</v>
      </c>
      <c r="BD51" t="s">
        <v>349</v>
      </c>
      <c r="BF51" t="s">
        <v>215</v>
      </c>
      <c r="BJ51" t="s">
        <v>350</v>
      </c>
      <c r="BN51" t="s">
        <v>351</v>
      </c>
      <c r="BQ51" t="s">
        <v>352</v>
      </c>
      <c r="BR51" t="s">
        <v>352</v>
      </c>
      <c r="BS51" t="s">
        <v>353</v>
      </c>
      <c r="BT51" t="s">
        <v>353</v>
      </c>
      <c r="BU51" t="s">
        <v>353</v>
      </c>
      <c r="CA51">
        <v>1</v>
      </c>
      <c r="CB51">
        <v>15</v>
      </c>
    </row>
    <row r="52" spans="2:80" x14ac:dyDescent="0.25">
      <c r="B52" s="30"/>
      <c r="C52" s="30"/>
      <c r="D52" s="30"/>
      <c r="E52" s="27" t="s">
        <v>354</v>
      </c>
      <c r="J52" s="16" t="s">
        <v>355</v>
      </c>
      <c r="K52" s="21"/>
      <c r="L52" s="16"/>
      <c r="M52" s="16"/>
      <c r="N52" s="21"/>
      <c r="O52" s="16"/>
      <c r="P52" s="16" t="s">
        <v>296</v>
      </c>
      <c r="Q52" s="16"/>
      <c r="R52">
        <v>86</v>
      </c>
      <c r="S52" t="s">
        <v>340</v>
      </c>
      <c r="T52" t="s">
        <v>339</v>
      </c>
      <c r="V52" t="s">
        <v>285</v>
      </c>
      <c r="W52" s="16" t="s">
        <v>356</v>
      </c>
      <c r="X52" t="s">
        <v>355</v>
      </c>
      <c r="Y52" s="27" t="s">
        <v>355</v>
      </c>
      <c r="AB52" s="5" t="s">
        <v>357</v>
      </c>
      <c r="AC52" s="5" t="s">
        <v>357</v>
      </c>
      <c r="AQ52" t="s">
        <v>358</v>
      </c>
      <c r="AZ52" t="s">
        <v>359</v>
      </c>
      <c r="BB52" t="s">
        <v>360</v>
      </c>
      <c r="BC52" s="31" t="s">
        <v>361</v>
      </c>
      <c r="BD52" t="s">
        <v>362</v>
      </c>
      <c r="BF52" t="s">
        <v>363</v>
      </c>
      <c r="BJ52" t="s">
        <v>244</v>
      </c>
      <c r="BN52" t="s">
        <v>364</v>
      </c>
      <c r="BQ52" t="s">
        <v>365</v>
      </c>
      <c r="BR52" t="s">
        <v>365</v>
      </c>
      <c r="BS52" t="s">
        <v>366</v>
      </c>
      <c r="BT52" t="s">
        <v>366</v>
      </c>
      <c r="BU52" t="s">
        <v>366</v>
      </c>
      <c r="CA52">
        <v>1</v>
      </c>
      <c r="CB52">
        <v>3</v>
      </c>
    </row>
    <row r="53" spans="2:80" x14ac:dyDescent="0.25">
      <c r="B53">
        <v>10</v>
      </c>
      <c r="C53" s="20"/>
      <c r="E53" s="27" t="s">
        <v>367</v>
      </c>
      <c r="J53" s="16" t="s">
        <v>368</v>
      </c>
      <c r="K53" s="21"/>
      <c r="L53" s="16"/>
      <c r="M53" s="16"/>
      <c r="N53" s="32"/>
      <c r="O53" s="33"/>
      <c r="P53" s="33"/>
      <c r="Q53" s="16"/>
      <c r="R53">
        <v>78</v>
      </c>
      <c r="S53" t="s">
        <v>369</v>
      </c>
      <c r="T53" t="s">
        <v>370</v>
      </c>
      <c r="V53" t="s">
        <v>285</v>
      </c>
      <c r="W53" s="16" t="s">
        <v>371</v>
      </c>
      <c r="BM53" s="27" t="s">
        <v>368</v>
      </c>
      <c r="CA53">
        <v>3</v>
      </c>
      <c r="CB53">
        <v>29</v>
      </c>
    </row>
    <row r="54" spans="2:80" x14ac:dyDescent="0.25">
      <c r="B54">
        <v>80</v>
      </c>
      <c r="C54" s="20"/>
      <c r="E54" s="27" t="s">
        <v>372</v>
      </c>
      <c r="J54" s="16" t="s">
        <v>373</v>
      </c>
      <c r="K54" s="21"/>
      <c r="L54" s="16"/>
      <c r="M54" s="16" t="s">
        <v>283</v>
      </c>
      <c r="N54" s="21"/>
      <c r="O54" s="16"/>
      <c r="P54" s="16"/>
      <c r="Q54" s="16"/>
      <c r="R54">
        <v>77</v>
      </c>
      <c r="S54" t="s">
        <v>289</v>
      </c>
      <c r="T54" t="s">
        <v>374</v>
      </c>
      <c r="V54" t="s">
        <v>285</v>
      </c>
      <c r="W54" s="16" t="s">
        <v>375</v>
      </c>
      <c r="BM54" s="27" t="s">
        <v>376</v>
      </c>
      <c r="BO54" t="s">
        <v>377</v>
      </c>
      <c r="CA54">
        <v>1</v>
      </c>
      <c r="CB54">
        <v>63</v>
      </c>
    </row>
    <row r="55" spans="2:80" x14ac:dyDescent="0.25">
      <c r="C55" s="20">
        <v>59</v>
      </c>
      <c r="E55" s="27" t="s">
        <v>378</v>
      </c>
      <c r="J55" s="16" t="s">
        <v>379</v>
      </c>
      <c r="K55" s="21"/>
      <c r="L55" s="16"/>
      <c r="M55" s="16"/>
      <c r="N55" s="21"/>
      <c r="O55" s="16"/>
      <c r="P55" s="16"/>
      <c r="Q55" s="16"/>
      <c r="R55"/>
      <c r="S55" t="s">
        <v>380</v>
      </c>
      <c r="T55" t="s">
        <v>381</v>
      </c>
      <c r="V55" t="s">
        <v>176</v>
      </c>
      <c r="W55" s="16" t="s">
        <v>382</v>
      </c>
      <c r="AA55" s="34" t="s">
        <v>379</v>
      </c>
      <c r="AG55" t="s">
        <v>383</v>
      </c>
      <c r="AO55" t="s">
        <v>208</v>
      </c>
      <c r="AQ55" t="s">
        <v>384</v>
      </c>
      <c r="AS55" t="s">
        <v>384</v>
      </c>
      <c r="AT55" t="s">
        <v>385</v>
      </c>
      <c r="AV55" t="s">
        <v>386</v>
      </c>
      <c r="AZ55" t="s">
        <v>387</v>
      </c>
      <c r="BB55" s="31" t="s">
        <v>388</v>
      </c>
      <c r="BF55" t="s">
        <v>389</v>
      </c>
      <c r="BH55" t="s">
        <v>390</v>
      </c>
      <c r="BN55" t="s">
        <v>391</v>
      </c>
      <c r="CA55">
        <v>2</v>
      </c>
      <c r="CB55">
        <v>204</v>
      </c>
    </row>
    <row r="56" spans="2:80" x14ac:dyDescent="0.25">
      <c r="C56" s="20">
        <v>61</v>
      </c>
      <c r="E56" s="27" t="s">
        <v>392</v>
      </c>
      <c r="J56" s="16" t="s">
        <v>393</v>
      </c>
      <c r="K56" s="21"/>
      <c r="L56" s="16"/>
      <c r="M56" s="16"/>
      <c r="N56" s="21"/>
      <c r="O56" s="16"/>
      <c r="P56" s="16"/>
      <c r="Q56" s="16"/>
      <c r="R56"/>
      <c r="S56" t="s">
        <v>394</v>
      </c>
      <c r="T56" t="s">
        <v>16</v>
      </c>
      <c r="V56" t="s">
        <v>176</v>
      </c>
      <c r="W56" s="16" t="s">
        <v>395</v>
      </c>
      <c r="AA56" s="34" t="s">
        <v>393</v>
      </c>
      <c r="AG56" t="s">
        <v>396</v>
      </c>
      <c r="AO56" t="s">
        <v>227</v>
      </c>
      <c r="AP56" t="s">
        <v>397</v>
      </c>
      <c r="AQ56" t="s">
        <v>397</v>
      </c>
      <c r="AR56" t="s">
        <v>397</v>
      </c>
      <c r="AS56" t="s">
        <v>397</v>
      </c>
      <c r="AT56" t="s">
        <v>397</v>
      </c>
      <c r="AU56" t="s">
        <v>397</v>
      </c>
      <c r="AV56" t="s">
        <v>398</v>
      </c>
      <c r="AW56" t="s">
        <v>399</v>
      </c>
      <c r="AZ56" t="s">
        <v>400</v>
      </c>
      <c r="BB56" s="31" t="s">
        <v>401</v>
      </c>
      <c r="BF56" t="s">
        <v>363</v>
      </c>
      <c r="BH56" t="s">
        <v>402</v>
      </c>
      <c r="BN56" t="s">
        <v>403</v>
      </c>
      <c r="CA56">
        <v>2</v>
      </c>
      <c r="CB56">
        <v>190</v>
      </c>
    </row>
    <row r="57" spans="2:80" x14ac:dyDescent="0.25">
      <c r="C57" s="20">
        <v>63</v>
      </c>
      <c r="E57" s="27" t="s">
        <v>404</v>
      </c>
      <c r="J57" s="16" t="s">
        <v>405</v>
      </c>
      <c r="K57" s="21"/>
      <c r="L57" s="16"/>
      <c r="M57" s="16"/>
      <c r="N57" s="21"/>
      <c r="O57" s="16"/>
      <c r="P57" s="16"/>
      <c r="Q57" s="16"/>
      <c r="R57"/>
      <c r="S57" t="s">
        <v>406</v>
      </c>
      <c r="T57" t="s">
        <v>407</v>
      </c>
      <c r="V57" t="s">
        <v>176</v>
      </c>
      <c r="W57" s="16" t="s">
        <v>408</v>
      </c>
      <c r="AA57" s="34" t="s">
        <v>405</v>
      </c>
      <c r="AG57" t="s">
        <v>409</v>
      </c>
      <c r="AR57" t="s">
        <v>410</v>
      </c>
      <c r="AS57" t="s">
        <v>410</v>
      </c>
      <c r="AT57" t="s">
        <v>385</v>
      </c>
      <c r="AV57" t="s">
        <v>410</v>
      </c>
      <c r="AX57" t="s">
        <v>411</v>
      </c>
      <c r="AZ57" t="s">
        <v>412</v>
      </c>
      <c r="BB57" t="s">
        <v>413</v>
      </c>
      <c r="BE57" t="s">
        <v>414</v>
      </c>
      <c r="BF57" t="s">
        <v>415</v>
      </c>
      <c r="BG57" t="s">
        <v>416</v>
      </c>
      <c r="BM57" t="s">
        <v>417</v>
      </c>
      <c r="BO57" t="s">
        <v>418</v>
      </c>
      <c r="CA57">
        <v>2</v>
      </c>
      <c r="CB57">
        <v>203</v>
      </c>
    </row>
    <row r="58" spans="2:80" x14ac:dyDescent="0.25">
      <c r="C58" s="20">
        <v>65</v>
      </c>
      <c r="E58" s="27" t="s">
        <v>419</v>
      </c>
      <c r="J58" s="16" t="s">
        <v>420</v>
      </c>
      <c r="K58" s="21"/>
      <c r="L58" s="16"/>
      <c r="M58" s="16"/>
      <c r="N58" s="21"/>
      <c r="O58" s="16"/>
      <c r="P58" s="16"/>
      <c r="Q58" s="16"/>
      <c r="R58"/>
      <c r="S58" t="s">
        <v>421</v>
      </c>
      <c r="T58" t="s">
        <v>422</v>
      </c>
      <c r="V58" t="s">
        <v>176</v>
      </c>
      <c r="W58" s="16" t="s">
        <v>423</v>
      </c>
      <c r="AA58" s="34" t="s">
        <v>420</v>
      </c>
      <c r="AG58" t="s">
        <v>424</v>
      </c>
      <c r="AP58" t="s">
        <v>425</v>
      </c>
      <c r="AQ58" t="s">
        <v>425</v>
      </c>
      <c r="AR58" t="s">
        <v>425</v>
      </c>
      <c r="AS58" t="s">
        <v>425</v>
      </c>
      <c r="AT58" t="s">
        <v>425</v>
      </c>
      <c r="AU58" t="s">
        <v>425</v>
      </c>
      <c r="AV58" t="s">
        <v>426</v>
      </c>
      <c r="AW58" t="s">
        <v>427</v>
      </c>
      <c r="AX58" t="s">
        <v>428</v>
      </c>
      <c r="AZ58" t="s">
        <v>429</v>
      </c>
      <c r="BB58" t="s">
        <v>430</v>
      </c>
      <c r="BE58" t="s">
        <v>431</v>
      </c>
      <c r="BF58" t="s">
        <v>432</v>
      </c>
      <c r="BG58" t="s">
        <v>433</v>
      </c>
      <c r="BN58" t="s">
        <v>434</v>
      </c>
      <c r="BO58" t="s">
        <v>435</v>
      </c>
      <c r="CA58">
        <v>2</v>
      </c>
      <c r="CB58">
        <v>189</v>
      </c>
    </row>
    <row r="59" spans="2:80" x14ac:dyDescent="0.25">
      <c r="C59" s="20"/>
      <c r="D59">
        <v>43</v>
      </c>
      <c r="J59" s="16"/>
      <c r="K59" s="21"/>
      <c r="L59" s="16"/>
      <c r="M59" s="16"/>
      <c r="N59" s="21"/>
      <c r="O59" s="16"/>
      <c r="P59" s="16"/>
      <c r="Q59" s="16"/>
      <c r="R59" s="1">
        <v>45</v>
      </c>
      <c r="S59" s="1" t="s">
        <v>436</v>
      </c>
      <c r="T59" s="1" t="s">
        <v>437</v>
      </c>
      <c r="V59" t="s">
        <v>285</v>
      </c>
      <c r="W59" s="16" t="s">
        <v>438</v>
      </c>
      <c r="AD59" s="3" t="s">
        <v>439</v>
      </c>
      <c r="AE59" s="3" t="s">
        <v>439</v>
      </c>
      <c r="AG59" t="s">
        <v>396</v>
      </c>
      <c r="AH59" s="31" t="s">
        <v>440</v>
      </c>
      <c r="AI59" t="s">
        <v>440</v>
      </c>
      <c r="AJ59" s="31" t="s">
        <v>441</v>
      </c>
      <c r="AK59" s="31" t="s">
        <v>442</v>
      </c>
      <c r="AM59" s="31" t="s">
        <v>443</v>
      </c>
      <c r="BB59" t="s">
        <v>444</v>
      </c>
      <c r="BC59" s="31" t="s">
        <v>445</v>
      </c>
      <c r="BE59" t="s">
        <v>446</v>
      </c>
      <c r="BF59" t="s">
        <v>447</v>
      </c>
      <c r="BH59" t="s">
        <v>390</v>
      </c>
      <c r="BN59" t="s">
        <v>448</v>
      </c>
      <c r="BO59" t="s">
        <v>435</v>
      </c>
      <c r="BQ59" t="s">
        <v>449</v>
      </c>
      <c r="BR59" t="s">
        <v>449</v>
      </c>
      <c r="BS59" t="s">
        <v>449</v>
      </c>
      <c r="BT59" t="s">
        <v>449</v>
      </c>
      <c r="BU59" t="s">
        <v>449</v>
      </c>
      <c r="CA59">
        <v>2</v>
      </c>
      <c r="CB59">
        <v>22</v>
      </c>
    </row>
    <row r="60" spans="2:80" x14ac:dyDescent="0.25">
      <c r="B60">
        <v>62</v>
      </c>
      <c r="C60" s="20"/>
      <c r="J60" s="16"/>
      <c r="K60" s="21"/>
      <c r="L60" s="16"/>
      <c r="M60" s="16"/>
      <c r="N60" s="21"/>
      <c r="O60" s="16"/>
      <c r="P60" s="16"/>
      <c r="Q60" s="16"/>
      <c r="R60"/>
      <c r="S60"/>
      <c r="T60" t="s">
        <v>450</v>
      </c>
      <c r="V60" t="s">
        <v>285</v>
      </c>
      <c r="W60" s="16" t="s">
        <v>451</v>
      </c>
      <c r="AB60" s="5" t="s">
        <v>452</v>
      </c>
      <c r="AC60" s="5" t="s">
        <v>452</v>
      </c>
      <c r="AI60" s="10" t="s">
        <v>453</v>
      </c>
      <c r="BF60" t="s">
        <v>454</v>
      </c>
      <c r="BM60" t="s">
        <v>455</v>
      </c>
      <c r="CA60">
        <v>2</v>
      </c>
      <c r="CB60">
        <v>12</v>
      </c>
    </row>
    <row r="61" spans="2:80" x14ac:dyDescent="0.25">
      <c r="B61">
        <v>78</v>
      </c>
      <c r="C61" s="20"/>
      <c r="E61" s="27" t="s">
        <v>456</v>
      </c>
      <c r="J61" s="16" t="s">
        <v>457</v>
      </c>
      <c r="K61" s="21"/>
      <c r="L61" s="16"/>
      <c r="M61" s="16"/>
      <c r="N61" s="21"/>
      <c r="O61" s="16"/>
      <c r="P61" s="16"/>
      <c r="Q61" s="16"/>
      <c r="R61">
        <v>74</v>
      </c>
      <c r="S61" t="s">
        <v>458</v>
      </c>
      <c r="T61" t="s">
        <v>459</v>
      </c>
      <c r="V61" t="s">
        <v>285</v>
      </c>
      <c r="W61" s="16" t="s">
        <v>460</v>
      </c>
      <c r="AO61" t="s">
        <v>461</v>
      </c>
      <c r="AP61" s="27" t="s">
        <v>457</v>
      </c>
      <c r="AQ61" t="s">
        <v>457</v>
      </c>
      <c r="AR61" t="s">
        <v>457</v>
      </c>
      <c r="AS61" t="s">
        <v>457</v>
      </c>
      <c r="AT61" t="s">
        <v>457</v>
      </c>
      <c r="AU61" t="s">
        <v>457</v>
      </c>
      <c r="AV61" t="s">
        <v>462</v>
      </c>
      <c r="AW61" t="s">
        <v>463</v>
      </c>
      <c r="BE61" t="s">
        <v>464</v>
      </c>
      <c r="BF61" t="s">
        <v>243</v>
      </c>
      <c r="BM61" t="s">
        <v>465</v>
      </c>
      <c r="BO61" t="s">
        <v>466</v>
      </c>
      <c r="BP61" t="s">
        <v>467</v>
      </c>
      <c r="CA61">
        <v>2</v>
      </c>
      <c r="CB61">
        <v>31</v>
      </c>
    </row>
    <row r="62" spans="2:80" x14ac:dyDescent="0.25">
      <c r="B62">
        <v>79</v>
      </c>
      <c r="C62" s="20"/>
      <c r="E62" s="27" t="s">
        <v>468</v>
      </c>
      <c r="J62" s="16" t="s">
        <v>469</v>
      </c>
      <c r="K62" s="21"/>
      <c r="L62" s="16"/>
      <c r="M62" s="16"/>
      <c r="N62" s="21"/>
      <c r="O62" s="16"/>
      <c r="P62" s="16" t="s">
        <v>273</v>
      </c>
      <c r="Q62" s="16"/>
      <c r="R62">
        <v>73</v>
      </c>
      <c r="S62" t="s">
        <v>284</v>
      </c>
      <c r="T62" t="s">
        <v>470</v>
      </c>
      <c r="V62" t="s">
        <v>285</v>
      </c>
      <c r="W62" s="16" t="s">
        <v>471</v>
      </c>
      <c r="AO62" t="s">
        <v>472</v>
      </c>
      <c r="AP62" s="27" t="s">
        <v>469</v>
      </c>
      <c r="AQ62" t="s">
        <v>469</v>
      </c>
      <c r="AR62" t="s">
        <v>469</v>
      </c>
      <c r="AS62" t="s">
        <v>469</v>
      </c>
      <c r="AT62" t="s">
        <v>469</v>
      </c>
      <c r="AU62" t="s">
        <v>469</v>
      </c>
      <c r="AV62" t="s">
        <v>473</v>
      </c>
      <c r="AW62" t="s">
        <v>474</v>
      </c>
      <c r="BE62" t="s">
        <v>475</v>
      </c>
      <c r="BF62" t="s">
        <v>256</v>
      </c>
      <c r="BM62" t="s">
        <v>455</v>
      </c>
      <c r="BO62" t="s">
        <v>435</v>
      </c>
      <c r="BP62" t="s">
        <v>476</v>
      </c>
      <c r="CA62">
        <v>2</v>
      </c>
      <c r="CB62">
        <v>64</v>
      </c>
    </row>
    <row r="63" spans="2:80" x14ac:dyDescent="0.25">
      <c r="B63">
        <v>75</v>
      </c>
      <c r="C63" s="20"/>
      <c r="E63" s="27" t="s">
        <v>477</v>
      </c>
      <c r="J63" s="16" t="s">
        <v>478</v>
      </c>
      <c r="K63" s="21"/>
      <c r="L63" s="16"/>
      <c r="M63" s="16"/>
      <c r="N63" s="21"/>
      <c r="O63" s="16"/>
      <c r="P63" s="16" t="s">
        <v>173</v>
      </c>
      <c r="Q63" s="16"/>
      <c r="R63">
        <v>72</v>
      </c>
      <c r="S63" t="s">
        <v>459</v>
      </c>
      <c r="T63" t="s">
        <v>479</v>
      </c>
      <c r="V63" t="s">
        <v>285</v>
      </c>
      <c r="W63" s="16" t="s">
        <v>480</v>
      </c>
      <c r="AQ63" t="s">
        <v>481</v>
      </c>
      <c r="AS63" t="s">
        <v>481</v>
      </c>
      <c r="AT63" t="s">
        <v>182</v>
      </c>
      <c r="AV63" t="s">
        <v>482</v>
      </c>
      <c r="BE63" t="s">
        <v>483</v>
      </c>
      <c r="BF63" t="s">
        <v>484</v>
      </c>
      <c r="BM63" t="s">
        <v>282</v>
      </c>
      <c r="BP63" s="27" t="s">
        <v>485</v>
      </c>
      <c r="CA63">
        <v>2</v>
      </c>
      <c r="CB63">
        <v>30</v>
      </c>
    </row>
    <row r="64" spans="2:80" x14ac:dyDescent="0.25">
      <c r="B64">
        <v>77</v>
      </c>
      <c r="C64" s="20"/>
      <c r="E64" s="27" t="s">
        <v>486</v>
      </c>
      <c r="J64" s="16" t="s">
        <v>487</v>
      </c>
      <c r="K64" s="21"/>
      <c r="L64" s="16"/>
      <c r="M64" s="16"/>
      <c r="N64" s="21"/>
      <c r="O64" s="16"/>
      <c r="P64" s="16"/>
      <c r="Q64" s="16"/>
      <c r="R64">
        <v>71</v>
      </c>
      <c r="S64" t="s">
        <v>297</v>
      </c>
      <c r="T64" t="s">
        <v>458</v>
      </c>
      <c r="V64" t="s">
        <v>285</v>
      </c>
      <c r="W64" s="16" t="s">
        <v>488</v>
      </c>
      <c r="AR64" t="s">
        <v>489</v>
      </c>
      <c r="AS64" t="s">
        <v>489</v>
      </c>
      <c r="AT64" t="s">
        <v>182</v>
      </c>
      <c r="AV64" t="s">
        <v>489</v>
      </c>
      <c r="BE64" t="s">
        <v>490</v>
      </c>
      <c r="BF64" t="s">
        <v>491</v>
      </c>
      <c r="BM64" t="s">
        <v>293</v>
      </c>
      <c r="BP64" s="27" t="s">
        <v>492</v>
      </c>
      <c r="CA64">
        <v>2</v>
      </c>
      <c r="CB64">
        <v>46</v>
      </c>
    </row>
    <row r="65" spans="2:80" x14ac:dyDescent="0.25">
      <c r="B65" s="30"/>
      <c r="C65" s="30"/>
      <c r="D65" s="30"/>
      <c r="E65" s="27" t="s">
        <v>493</v>
      </c>
      <c r="J65" s="16" t="s">
        <v>494</v>
      </c>
      <c r="K65" s="21"/>
      <c r="L65" s="16"/>
      <c r="M65" s="16"/>
      <c r="N65" s="21"/>
      <c r="O65" s="16"/>
      <c r="P65" s="16"/>
      <c r="Q65" s="16"/>
      <c r="R65">
        <v>20</v>
      </c>
      <c r="S65" t="s">
        <v>495</v>
      </c>
      <c r="T65" t="s">
        <v>496</v>
      </c>
      <c r="V65" t="s">
        <v>285</v>
      </c>
      <c r="W65" s="16" t="s">
        <v>497</v>
      </c>
      <c r="AP65" t="s">
        <v>498</v>
      </c>
      <c r="AQ65" t="s">
        <v>498</v>
      </c>
      <c r="AR65" t="s">
        <v>498</v>
      </c>
      <c r="AS65" t="s">
        <v>498</v>
      </c>
      <c r="AT65" t="s">
        <v>498</v>
      </c>
      <c r="AU65" t="s">
        <v>498</v>
      </c>
      <c r="AV65" t="s">
        <v>499</v>
      </c>
      <c r="AW65" t="s">
        <v>500</v>
      </c>
      <c r="BD65" t="s">
        <v>362</v>
      </c>
      <c r="BF65" t="s">
        <v>484</v>
      </c>
      <c r="BG65" t="s">
        <v>501</v>
      </c>
      <c r="BM65" t="s">
        <v>465</v>
      </c>
      <c r="BO65" s="27" t="s">
        <v>494</v>
      </c>
      <c r="CA65">
        <v>3</v>
      </c>
      <c r="CB65">
        <v>120</v>
      </c>
    </row>
    <row r="66" spans="2:80" x14ac:dyDescent="0.25">
      <c r="B66" s="30"/>
      <c r="C66" s="30"/>
      <c r="D66" s="30"/>
      <c r="E66" s="27" t="s">
        <v>502</v>
      </c>
      <c r="J66" s="16" t="s">
        <v>503</v>
      </c>
      <c r="K66" s="21"/>
      <c r="L66" s="16"/>
      <c r="M66" s="16"/>
      <c r="N66" s="21"/>
      <c r="O66" s="16"/>
      <c r="P66" s="16"/>
      <c r="Q66" s="16"/>
      <c r="R66">
        <v>19</v>
      </c>
      <c r="S66" t="s">
        <v>504</v>
      </c>
      <c r="T66" t="s">
        <v>505</v>
      </c>
      <c r="V66" t="s">
        <v>285</v>
      </c>
      <c r="W66" s="16" t="s">
        <v>506</v>
      </c>
      <c r="AP66" t="s">
        <v>507</v>
      </c>
      <c r="AQ66" t="s">
        <v>507</v>
      </c>
      <c r="AR66" t="s">
        <v>507</v>
      </c>
      <c r="AS66" t="s">
        <v>507</v>
      </c>
      <c r="AT66" t="s">
        <v>507</v>
      </c>
      <c r="AU66" t="s">
        <v>507</v>
      </c>
      <c r="AV66" t="s">
        <v>508</v>
      </c>
      <c r="AW66" t="s">
        <v>509</v>
      </c>
      <c r="BD66" t="s">
        <v>349</v>
      </c>
      <c r="BF66" t="s">
        <v>491</v>
      </c>
      <c r="BH66" t="s">
        <v>510</v>
      </c>
      <c r="BJ66" t="s">
        <v>511</v>
      </c>
      <c r="BM66" t="s">
        <v>187</v>
      </c>
      <c r="BO66" s="27" t="s">
        <v>503</v>
      </c>
      <c r="CA66">
        <v>3</v>
      </c>
      <c r="CB66">
        <v>119</v>
      </c>
    </row>
    <row r="67" spans="2:80" x14ac:dyDescent="0.25">
      <c r="B67" s="30"/>
      <c r="C67" s="30"/>
      <c r="D67" s="30"/>
      <c r="E67" s="27" t="s">
        <v>512</v>
      </c>
      <c r="J67" s="16" t="s">
        <v>513</v>
      </c>
      <c r="K67" s="21"/>
      <c r="L67" s="16"/>
      <c r="M67" s="16"/>
      <c r="N67" s="32"/>
      <c r="O67" s="33"/>
      <c r="P67" s="33"/>
      <c r="Q67" s="16"/>
      <c r="R67">
        <v>17</v>
      </c>
      <c r="S67" t="s">
        <v>514</v>
      </c>
      <c r="T67" t="s">
        <v>515</v>
      </c>
      <c r="V67" t="s">
        <v>516</v>
      </c>
      <c r="W67" s="16" t="s">
        <v>517</v>
      </c>
      <c r="BM67" t="s">
        <v>518</v>
      </c>
      <c r="BO67" s="27" t="s">
        <v>513</v>
      </c>
      <c r="CA67">
        <v>-1</v>
      </c>
      <c r="CB67">
        <v>128</v>
      </c>
    </row>
    <row r="68" spans="2:80" x14ac:dyDescent="0.25">
      <c r="B68" s="30"/>
      <c r="C68" s="30"/>
      <c r="D68" s="30"/>
      <c r="E68" s="27" t="s">
        <v>519</v>
      </c>
      <c r="J68" s="16" t="s">
        <v>520</v>
      </c>
      <c r="K68" s="21"/>
      <c r="L68" s="16"/>
      <c r="M68" s="16"/>
      <c r="N68" s="32"/>
      <c r="O68" s="33"/>
      <c r="P68" s="33"/>
      <c r="Q68" s="16"/>
      <c r="R68">
        <v>16</v>
      </c>
      <c r="S68" t="s">
        <v>521</v>
      </c>
      <c r="T68" t="s">
        <v>522</v>
      </c>
      <c r="V68" t="s">
        <v>516</v>
      </c>
      <c r="W68" s="16" t="s">
        <v>523</v>
      </c>
      <c r="BM68" t="s">
        <v>300</v>
      </c>
      <c r="BO68" s="27" t="s">
        <v>524</v>
      </c>
      <c r="CA68">
        <v>-1</v>
      </c>
      <c r="CB68">
        <v>129</v>
      </c>
    </row>
    <row r="69" spans="2:80" x14ac:dyDescent="0.25">
      <c r="B69" s="30"/>
      <c r="C69" s="30"/>
      <c r="D69" s="30"/>
      <c r="E69" s="27" t="s">
        <v>525</v>
      </c>
      <c r="J69" s="16" t="s">
        <v>526</v>
      </c>
      <c r="K69" s="21"/>
      <c r="L69" s="16"/>
      <c r="M69" s="16"/>
      <c r="N69" s="21"/>
      <c r="O69" s="16"/>
      <c r="P69" s="16" t="s">
        <v>296</v>
      </c>
      <c r="Q69" s="16"/>
      <c r="R69">
        <v>82</v>
      </c>
      <c r="S69" t="s">
        <v>527</v>
      </c>
      <c r="T69" t="s">
        <v>528</v>
      </c>
      <c r="V69" t="s">
        <v>285</v>
      </c>
      <c r="W69" s="16" t="s">
        <v>529</v>
      </c>
      <c r="X69" t="s">
        <v>526</v>
      </c>
      <c r="Y69" s="27" t="s">
        <v>526</v>
      </c>
      <c r="AB69" s="5" t="s">
        <v>530</v>
      </c>
      <c r="AC69" s="5" t="s">
        <v>530</v>
      </c>
      <c r="AR69" t="s">
        <v>531</v>
      </c>
      <c r="AS69" t="s">
        <v>531</v>
      </c>
      <c r="AT69" t="s">
        <v>344</v>
      </c>
      <c r="AV69" t="s">
        <v>531</v>
      </c>
      <c r="AZ69" t="s">
        <v>532</v>
      </c>
      <c r="BB69" s="31" t="s">
        <v>533</v>
      </c>
      <c r="BF69" t="s">
        <v>534</v>
      </c>
      <c r="BH69" t="s">
        <v>535</v>
      </c>
      <c r="BM69" t="s">
        <v>376</v>
      </c>
      <c r="BQ69" t="s">
        <v>536</v>
      </c>
      <c r="BR69" t="s">
        <v>536</v>
      </c>
      <c r="BS69" t="s">
        <v>537</v>
      </c>
      <c r="BT69" t="s">
        <v>537</v>
      </c>
      <c r="BU69" t="s">
        <v>537</v>
      </c>
      <c r="CB69">
        <v>17</v>
      </c>
    </row>
    <row r="70" spans="2:80" x14ac:dyDescent="0.25">
      <c r="B70" s="30"/>
      <c r="C70" s="30"/>
      <c r="D70" s="30"/>
      <c r="E70" s="27" t="s">
        <v>538</v>
      </c>
      <c r="J70" s="16" t="s">
        <v>539</v>
      </c>
      <c r="K70" s="21"/>
      <c r="L70" s="16"/>
      <c r="M70" s="16"/>
      <c r="N70" s="21"/>
      <c r="O70" s="16"/>
      <c r="P70" s="16" t="s">
        <v>296</v>
      </c>
      <c r="Q70" s="16"/>
      <c r="R70">
        <v>81</v>
      </c>
      <c r="S70" t="s">
        <v>370</v>
      </c>
      <c r="T70" t="s">
        <v>540</v>
      </c>
      <c r="V70" t="s">
        <v>285</v>
      </c>
      <c r="W70" s="16" t="s">
        <v>541</v>
      </c>
      <c r="X70" t="s">
        <v>539</v>
      </c>
      <c r="Y70" s="27" t="s">
        <v>539</v>
      </c>
      <c r="AB70" s="5" t="s">
        <v>542</v>
      </c>
      <c r="AC70" s="5" t="s">
        <v>542</v>
      </c>
      <c r="AP70" t="s">
        <v>543</v>
      </c>
      <c r="AQ70" t="s">
        <v>543</v>
      </c>
      <c r="AR70" t="s">
        <v>543</v>
      </c>
      <c r="AS70" t="s">
        <v>543</v>
      </c>
      <c r="AT70" t="s">
        <v>543</v>
      </c>
      <c r="AU70" t="s">
        <v>543</v>
      </c>
      <c r="AV70" t="s">
        <v>544</v>
      </c>
      <c r="AW70" t="s">
        <v>545</v>
      </c>
      <c r="BB70" s="31" t="s">
        <v>546</v>
      </c>
      <c r="BE70" t="s">
        <v>483</v>
      </c>
      <c r="BF70" t="s">
        <v>415</v>
      </c>
      <c r="BG70" t="s">
        <v>186</v>
      </c>
      <c r="BH70" t="s">
        <v>547</v>
      </c>
      <c r="BM70" t="s">
        <v>548</v>
      </c>
      <c r="BQ70" t="s">
        <v>549</v>
      </c>
      <c r="BR70" t="s">
        <v>549</v>
      </c>
      <c r="BS70" t="s">
        <v>550</v>
      </c>
      <c r="BT70" t="s">
        <v>550</v>
      </c>
      <c r="BU70" t="s">
        <v>550</v>
      </c>
      <c r="CB70">
        <v>28</v>
      </c>
    </row>
    <row r="71" spans="2:80" x14ac:dyDescent="0.25">
      <c r="B71" s="30"/>
      <c r="C71" s="30"/>
      <c r="D71" s="30"/>
      <c r="E71" s="27" t="s">
        <v>551</v>
      </c>
      <c r="J71" s="16" t="s">
        <v>552</v>
      </c>
      <c r="K71" s="21"/>
      <c r="L71" s="16"/>
      <c r="M71" s="16"/>
      <c r="N71" s="21"/>
      <c r="O71" s="16"/>
      <c r="P71" s="16" t="s">
        <v>296</v>
      </c>
      <c r="Q71" s="16"/>
      <c r="R71">
        <v>80</v>
      </c>
      <c r="S71" t="s">
        <v>528</v>
      </c>
      <c r="T71" t="s">
        <v>527</v>
      </c>
      <c r="V71" t="s">
        <v>285</v>
      </c>
      <c r="W71" s="16" t="s">
        <v>553</v>
      </c>
      <c r="X71" t="s">
        <v>552</v>
      </c>
      <c r="Y71" s="27" t="s">
        <v>552</v>
      </c>
      <c r="AB71" s="5" t="s">
        <v>554</v>
      </c>
      <c r="AC71" s="5" t="s">
        <v>554</v>
      </c>
      <c r="AP71" t="s">
        <v>555</v>
      </c>
      <c r="AQ71" t="s">
        <v>555</v>
      </c>
      <c r="AR71" t="s">
        <v>555</v>
      </c>
      <c r="AS71" t="s">
        <v>555</v>
      </c>
      <c r="AT71" t="s">
        <v>555</v>
      </c>
      <c r="AU71" t="s">
        <v>555</v>
      </c>
      <c r="AV71" t="s">
        <v>556</v>
      </c>
      <c r="AW71" t="s">
        <v>557</v>
      </c>
      <c r="BB71" s="31" t="s">
        <v>558</v>
      </c>
      <c r="BE71" t="s">
        <v>490</v>
      </c>
      <c r="BF71" t="s">
        <v>432</v>
      </c>
      <c r="BH71" t="s">
        <v>559</v>
      </c>
      <c r="BM71" t="s">
        <v>560</v>
      </c>
      <c r="BQ71" t="s">
        <v>561</v>
      </c>
      <c r="BR71" t="s">
        <v>561</v>
      </c>
      <c r="BS71" t="s">
        <v>562</v>
      </c>
      <c r="BT71" t="s">
        <v>562</v>
      </c>
      <c r="BU71" t="s">
        <v>562</v>
      </c>
      <c r="CB71">
        <v>5</v>
      </c>
    </row>
    <row r="72" spans="2:80" x14ac:dyDescent="0.25">
      <c r="B72">
        <v>74</v>
      </c>
      <c r="C72" s="20"/>
      <c r="E72" s="27" t="s">
        <v>563</v>
      </c>
      <c r="J72" s="16" t="s">
        <v>564</v>
      </c>
      <c r="K72" s="21"/>
      <c r="L72" s="16"/>
      <c r="M72" s="16" t="s">
        <v>283</v>
      </c>
      <c r="N72" s="21"/>
      <c r="O72" s="16"/>
      <c r="P72" s="16"/>
      <c r="Q72" s="16"/>
      <c r="R72"/>
      <c r="S72"/>
      <c r="T72" t="s">
        <v>565</v>
      </c>
      <c r="V72" t="s">
        <v>285</v>
      </c>
      <c r="W72" s="16" t="s">
        <v>566</v>
      </c>
      <c r="AB72" s="5" t="s">
        <v>567</v>
      </c>
      <c r="AC72" s="5" t="s">
        <v>567</v>
      </c>
      <c r="AR72" t="s">
        <v>568</v>
      </c>
      <c r="AS72" t="s">
        <v>568</v>
      </c>
      <c r="AT72" t="s">
        <v>569</v>
      </c>
      <c r="AV72" t="s">
        <v>568</v>
      </c>
      <c r="BF72" t="s">
        <v>570</v>
      </c>
      <c r="BN72" s="27" t="s">
        <v>564</v>
      </c>
      <c r="CB72">
        <v>18</v>
      </c>
    </row>
    <row r="73" spans="2:80" x14ac:dyDescent="0.25">
      <c r="C73" s="20"/>
      <c r="D73">
        <v>46</v>
      </c>
      <c r="J73" s="16"/>
      <c r="K73" s="21"/>
      <c r="L73" s="16"/>
      <c r="M73" s="16"/>
      <c r="N73" s="21"/>
      <c r="O73" s="16"/>
      <c r="P73" s="16"/>
      <c r="Q73" s="16"/>
      <c r="R73" s="1">
        <v>60</v>
      </c>
      <c r="S73" s="1" t="s">
        <v>571</v>
      </c>
      <c r="T73" s="1" t="s">
        <v>572</v>
      </c>
      <c r="V73" t="s">
        <v>285</v>
      </c>
      <c r="W73" s="16" t="s">
        <v>573</v>
      </c>
      <c r="AE73" s="3" t="s">
        <v>574</v>
      </c>
      <c r="AH73" s="31" t="s">
        <v>575</v>
      </c>
      <c r="AI73" s="10" t="s">
        <v>575</v>
      </c>
      <c r="AK73" s="31" t="s">
        <v>576</v>
      </c>
      <c r="AM73" s="31" t="s">
        <v>577</v>
      </c>
      <c r="BB73" s="31" t="s">
        <v>578</v>
      </c>
      <c r="BE73" t="s">
        <v>464</v>
      </c>
      <c r="BF73" t="s">
        <v>579</v>
      </c>
      <c r="BH73" t="s">
        <v>580</v>
      </c>
      <c r="BM73" t="s">
        <v>581</v>
      </c>
      <c r="BP73" t="s">
        <v>582</v>
      </c>
      <c r="CB73">
        <v>50</v>
      </c>
    </row>
    <row r="74" spans="2:80" x14ac:dyDescent="0.25">
      <c r="C74" s="20"/>
      <c r="D74">
        <v>44</v>
      </c>
      <c r="J74" s="16"/>
      <c r="K74" s="21"/>
      <c r="L74" s="16"/>
      <c r="M74" s="16"/>
      <c r="N74" s="21"/>
      <c r="O74" s="16"/>
      <c r="P74" s="16"/>
      <c r="Q74" s="16"/>
      <c r="R74" s="1">
        <v>58</v>
      </c>
      <c r="S74" s="1" t="s">
        <v>583</v>
      </c>
      <c r="T74" s="1" t="s">
        <v>584</v>
      </c>
      <c r="V74" t="s">
        <v>285</v>
      </c>
      <c r="W74" s="16" t="s">
        <v>585</v>
      </c>
      <c r="AE74" s="3" t="s">
        <v>586</v>
      </c>
      <c r="AH74" s="31" t="s">
        <v>587</v>
      </c>
      <c r="AI74" s="10" t="s">
        <v>587</v>
      </c>
      <c r="AK74" s="31" t="s">
        <v>588</v>
      </c>
      <c r="AM74" s="31" t="s">
        <v>589</v>
      </c>
      <c r="BB74" t="s">
        <v>590</v>
      </c>
      <c r="BE74" t="s">
        <v>475</v>
      </c>
      <c r="BF74" t="s">
        <v>591</v>
      </c>
      <c r="BH74" t="s">
        <v>592</v>
      </c>
      <c r="BM74" t="s">
        <v>593</v>
      </c>
      <c r="BP74" t="s">
        <v>594</v>
      </c>
      <c r="CB74">
        <v>34</v>
      </c>
    </row>
    <row r="75" spans="2:80" x14ac:dyDescent="0.25">
      <c r="C75" s="20"/>
      <c r="D75">
        <v>42</v>
      </c>
      <c r="J75" s="16"/>
      <c r="K75" s="21"/>
      <c r="L75" s="16"/>
      <c r="M75" s="16"/>
      <c r="N75" s="21"/>
      <c r="O75" s="16"/>
      <c r="P75" s="16"/>
      <c r="Q75" s="16"/>
      <c r="R75" s="1">
        <v>57</v>
      </c>
      <c r="S75" s="1" t="s">
        <v>584</v>
      </c>
      <c r="T75" s="1" t="s">
        <v>595</v>
      </c>
      <c r="V75" t="s">
        <v>285</v>
      </c>
      <c r="W75" s="16" t="s">
        <v>596</v>
      </c>
      <c r="AE75" s="3" t="s">
        <v>597</v>
      </c>
      <c r="AH75" s="31" t="s">
        <v>598</v>
      </c>
      <c r="AI75" s="10" t="s">
        <v>598</v>
      </c>
      <c r="AJ75" s="31" t="s">
        <v>599</v>
      </c>
      <c r="AK75" s="31" t="s">
        <v>600</v>
      </c>
      <c r="AM75" s="31" t="s">
        <v>601</v>
      </c>
      <c r="BB75" t="s">
        <v>602</v>
      </c>
      <c r="BE75" t="s">
        <v>414</v>
      </c>
      <c r="BF75" t="s">
        <v>603</v>
      </c>
      <c r="BH75" t="s">
        <v>604</v>
      </c>
      <c r="BN75" t="s">
        <v>605</v>
      </c>
      <c r="BP75" t="s">
        <v>606</v>
      </c>
      <c r="CB75">
        <v>51</v>
      </c>
    </row>
    <row r="76" spans="2:80" x14ac:dyDescent="0.25">
      <c r="C76" s="20"/>
      <c r="D76">
        <v>40</v>
      </c>
      <c r="J76" s="16"/>
      <c r="K76" s="21"/>
      <c r="L76" s="16"/>
      <c r="M76" s="16"/>
      <c r="N76" s="21"/>
      <c r="O76" s="16"/>
      <c r="P76" s="16"/>
      <c r="Q76" s="16"/>
      <c r="R76" s="1">
        <v>55</v>
      </c>
      <c r="S76" s="1" t="s">
        <v>607</v>
      </c>
      <c r="T76" s="1" t="s">
        <v>583</v>
      </c>
      <c r="V76" t="s">
        <v>285</v>
      </c>
      <c r="W76" s="16" t="s">
        <v>608</v>
      </c>
      <c r="AE76" s="3" t="s">
        <v>609</v>
      </c>
      <c r="AH76" s="31" t="s">
        <v>610</v>
      </c>
      <c r="AI76" s="10" t="s">
        <v>610</v>
      </c>
      <c r="AJ76" s="31" t="s">
        <v>611</v>
      </c>
      <c r="AK76" s="31" t="s">
        <v>612</v>
      </c>
      <c r="AM76" s="31" t="s">
        <v>613</v>
      </c>
      <c r="AQ76" t="s">
        <v>614</v>
      </c>
      <c r="AS76" t="s">
        <v>614</v>
      </c>
      <c r="AT76" t="s">
        <v>569</v>
      </c>
      <c r="AV76" t="s">
        <v>615</v>
      </c>
      <c r="BB76" s="31" t="s">
        <v>616</v>
      </c>
      <c r="BE76" t="s">
        <v>431</v>
      </c>
      <c r="BF76" t="s">
        <v>617</v>
      </c>
      <c r="BH76" t="s">
        <v>402</v>
      </c>
      <c r="BN76" t="s">
        <v>618</v>
      </c>
      <c r="BP76" t="s">
        <v>619</v>
      </c>
      <c r="CB76">
        <v>35</v>
      </c>
    </row>
    <row r="77" spans="2:80" x14ac:dyDescent="0.25">
      <c r="C77" s="20"/>
      <c r="D77">
        <v>36</v>
      </c>
      <c r="J77" s="16"/>
      <c r="K77" s="21"/>
      <c r="L77" s="16"/>
      <c r="M77" s="16"/>
      <c r="N77" s="21"/>
      <c r="O77" s="16"/>
      <c r="P77" s="16"/>
      <c r="Q77" s="16"/>
      <c r="R77">
        <v>54</v>
      </c>
      <c r="S77" t="s">
        <v>572</v>
      </c>
      <c r="T77" t="s">
        <v>571</v>
      </c>
      <c r="V77" t="s">
        <v>285</v>
      </c>
      <c r="W77" s="16" t="s">
        <v>620</v>
      </c>
      <c r="AE77" s="3" t="s">
        <v>621</v>
      </c>
      <c r="AH77" s="31" t="s">
        <v>622</v>
      </c>
      <c r="AI77" t="s">
        <v>622</v>
      </c>
      <c r="AQ77" t="s">
        <v>623</v>
      </c>
      <c r="BB77" s="31" t="s">
        <v>624</v>
      </c>
      <c r="BE77" t="s">
        <v>446</v>
      </c>
      <c r="BF77" t="s">
        <v>625</v>
      </c>
      <c r="BH77" t="s">
        <v>390</v>
      </c>
      <c r="BN77" t="s">
        <v>626</v>
      </c>
      <c r="BO77" t="s">
        <v>627</v>
      </c>
      <c r="BP77" t="s">
        <v>628</v>
      </c>
      <c r="CB77">
        <v>33</v>
      </c>
    </row>
    <row r="78" spans="2:80" x14ac:dyDescent="0.25">
      <c r="C78" s="20"/>
      <c r="D78">
        <v>27</v>
      </c>
      <c r="J78" s="16"/>
      <c r="K78" s="21"/>
      <c r="L78" s="16"/>
      <c r="M78" s="16"/>
      <c r="N78" s="21"/>
      <c r="O78" s="16"/>
      <c r="P78" s="16"/>
      <c r="Q78" s="16"/>
      <c r="R78"/>
      <c r="S78" t="s">
        <v>629</v>
      </c>
      <c r="T78" t="s">
        <v>630</v>
      </c>
      <c r="V78" t="s">
        <v>285</v>
      </c>
      <c r="W78" s="16" t="s">
        <v>631</v>
      </c>
      <c r="AB78" s="5" t="s">
        <v>632</v>
      </c>
      <c r="AC78" s="5" t="s">
        <v>632</v>
      </c>
      <c r="AE78" s="3" t="s">
        <v>633</v>
      </c>
      <c r="AI78" t="s">
        <v>634</v>
      </c>
      <c r="AK78" s="31" t="s">
        <v>635</v>
      </c>
      <c r="AQ78" t="s">
        <v>636</v>
      </c>
      <c r="BF78" t="s">
        <v>637</v>
      </c>
      <c r="BN78" t="s">
        <v>638</v>
      </c>
      <c r="BO78" t="s">
        <v>466</v>
      </c>
      <c r="CB78">
        <v>7</v>
      </c>
    </row>
    <row r="79" spans="2:80" x14ac:dyDescent="0.25">
      <c r="C79" s="20"/>
      <c r="D79">
        <v>38</v>
      </c>
      <c r="J79" s="16"/>
      <c r="K79" s="21"/>
      <c r="L79" s="16"/>
      <c r="M79" s="16"/>
      <c r="N79" s="21"/>
      <c r="O79" s="16"/>
      <c r="P79" s="16"/>
      <c r="Q79" s="16"/>
      <c r="R79" s="1">
        <v>53</v>
      </c>
      <c r="S79" s="1" t="s">
        <v>639</v>
      </c>
      <c r="T79" s="1" t="s">
        <v>640</v>
      </c>
      <c r="V79" t="s">
        <v>285</v>
      </c>
      <c r="W79" s="16" t="s">
        <v>641</v>
      </c>
      <c r="AC79" s="5" t="s">
        <v>642</v>
      </c>
      <c r="AE79" s="3" t="s">
        <v>643</v>
      </c>
      <c r="AH79" s="31" t="s">
        <v>644</v>
      </c>
      <c r="AI79" t="s">
        <v>644</v>
      </c>
      <c r="AJ79" s="31" t="s">
        <v>645</v>
      </c>
      <c r="AK79" s="31" t="s">
        <v>646</v>
      </c>
      <c r="AM79" s="31" t="s">
        <v>647</v>
      </c>
      <c r="AP79" t="s">
        <v>648</v>
      </c>
      <c r="AQ79" t="s">
        <v>648</v>
      </c>
      <c r="AR79" t="s">
        <v>648</v>
      </c>
      <c r="AS79" t="s">
        <v>648</v>
      </c>
      <c r="AT79" t="s">
        <v>648</v>
      </c>
      <c r="AU79" t="s">
        <v>648</v>
      </c>
      <c r="AV79" t="s">
        <v>649</v>
      </c>
      <c r="AW79" t="s">
        <v>650</v>
      </c>
      <c r="BF79" t="s">
        <v>651</v>
      </c>
      <c r="BG79" t="s">
        <v>501</v>
      </c>
      <c r="BN79" t="s">
        <v>652</v>
      </c>
      <c r="CB79">
        <v>67</v>
      </c>
    </row>
    <row r="80" spans="2:80" x14ac:dyDescent="0.25">
      <c r="C80" s="20"/>
      <c r="D80">
        <v>31</v>
      </c>
      <c r="J80" s="16"/>
      <c r="K80" s="21"/>
      <c r="L80" s="16"/>
      <c r="M80" s="16"/>
      <c r="N80" s="21"/>
      <c r="O80" s="16"/>
      <c r="P80" s="16"/>
      <c r="Q80" s="16"/>
      <c r="R80" s="1">
        <v>52</v>
      </c>
      <c r="S80" s="1" t="s">
        <v>653</v>
      </c>
      <c r="T80" s="1" t="s">
        <v>639</v>
      </c>
      <c r="V80" t="s">
        <v>285</v>
      </c>
      <c r="W80" s="16" t="s">
        <v>654</v>
      </c>
      <c r="AC80" s="5" t="s">
        <v>655</v>
      </c>
      <c r="AE80" s="3" t="s">
        <v>656</v>
      </c>
      <c r="AH80" s="31" t="s">
        <v>657</v>
      </c>
      <c r="AI80" s="10" t="s">
        <v>657</v>
      </c>
      <c r="AM80" s="31" t="s">
        <v>658</v>
      </c>
      <c r="AO80" t="s">
        <v>208</v>
      </c>
      <c r="AR80" t="s">
        <v>659</v>
      </c>
      <c r="AS80" t="s">
        <v>659</v>
      </c>
      <c r="AT80" t="s">
        <v>660</v>
      </c>
      <c r="AV80" t="s">
        <v>659</v>
      </c>
      <c r="BE80" t="s">
        <v>661</v>
      </c>
      <c r="BF80" t="s">
        <v>662</v>
      </c>
      <c r="BG80" t="s">
        <v>663</v>
      </c>
      <c r="BN80" t="s">
        <v>664</v>
      </c>
      <c r="CB80">
        <v>19</v>
      </c>
    </row>
    <row r="81" spans="2:80" x14ac:dyDescent="0.25">
      <c r="C81" s="20"/>
      <c r="D81">
        <v>45</v>
      </c>
      <c r="J81" s="16"/>
      <c r="K81" s="21"/>
      <c r="L81" s="16"/>
      <c r="M81" s="16"/>
      <c r="N81" s="21"/>
      <c r="O81" s="16"/>
      <c r="P81" s="16"/>
      <c r="Q81" s="16"/>
      <c r="R81" s="1">
        <v>51</v>
      </c>
      <c r="S81" s="1" t="s">
        <v>630</v>
      </c>
      <c r="T81" s="1" t="s">
        <v>665</v>
      </c>
      <c r="V81" t="s">
        <v>285</v>
      </c>
      <c r="W81" s="16" t="s">
        <v>666</v>
      </c>
      <c r="AC81" s="5" t="s">
        <v>667</v>
      </c>
      <c r="AD81" s="3" t="s">
        <v>668</v>
      </c>
      <c r="AE81" s="3" t="s">
        <v>668</v>
      </c>
      <c r="AF81" s="3" t="s">
        <v>669</v>
      </c>
      <c r="AH81" s="31" t="s">
        <v>670</v>
      </c>
      <c r="AI81" t="s">
        <v>670</v>
      </c>
      <c r="AJ81" s="31" t="s">
        <v>671</v>
      </c>
      <c r="AM81" s="31" t="s">
        <v>672</v>
      </c>
      <c r="AO81" t="s">
        <v>227</v>
      </c>
      <c r="AQ81" t="s">
        <v>673</v>
      </c>
      <c r="AS81" t="s">
        <v>673</v>
      </c>
      <c r="AT81" t="s">
        <v>660</v>
      </c>
      <c r="AV81" t="s">
        <v>674</v>
      </c>
      <c r="BE81" t="s">
        <v>675</v>
      </c>
      <c r="BF81" t="s">
        <v>676</v>
      </c>
      <c r="BG81" t="s">
        <v>677</v>
      </c>
      <c r="BN81" t="s">
        <v>678</v>
      </c>
      <c r="CB81">
        <v>37</v>
      </c>
    </row>
    <row r="82" spans="2:80" x14ac:dyDescent="0.25">
      <c r="C82" s="20">
        <v>55</v>
      </c>
      <c r="E82" s="27" t="s">
        <v>679</v>
      </c>
      <c r="J82" s="16" t="s">
        <v>680</v>
      </c>
      <c r="K82" s="21"/>
      <c r="L82" s="16"/>
      <c r="M82" s="16"/>
      <c r="N82" s="21"/>
      <c r="O82" s="16"/>
      <c r="P82" s="16"/>
      <c r="Q82" s="16"/>
      <c r="R82"/>
      <c r="S82" t="s">
        <v>681</v>
      </c>
      <c r="T82" t="s">
        <v>682</v>
      </c>
      <c r="V82" t="s">
        <v>176</v>
      </c>
      <c r="W82" s="16" t="s">
        <v>683</v>
      </c>
      <c r="AA82" s="34" t="s">
        <v>680</v>
      </c>
      <c r="AG82" t="s">
        <v>684</v>
      </c>
      <c r="AP82" t="s">
        <v>685</v>
      </c>
      <c r="AQ82" t="s">
        <v>685</v>
      </c>
      <c r="AR82" t="s">
        <v>685</v>
      </c>
      <c r="AS82" t="s">
        <v>685</v>
      </c>
      <c r="AT82" t="s">
        <v>685</v>
      </c>
      <c r="AU82" t="s">
        <v>685</v>
      </c>
      <c r="AV82" t="s">
        <v>686</v>
      </c>
      <c r="AW82" t="s">
        <v>687</v>
      </c>
      <c r="AZ82" t="s">
        <v>688</v>
      </c>
      <c r="BB82" s="31" t="s">
        <v>689</v>
      </c>
      <c r="BM82" t="s">
        <v>164</v>
      </c>
      <c r="CA82">
        <v>2</v>
      </c>
      <c r="CB82">
        <v>191</v>
      </c>
    </row>
    <row r="83" spans="2:80" x14ac:dyDescent="0.25">
      <c r="C83" s="20">
        <v>53</v>
      </c>
      <c r="E83" s="27" t="s">
        <v>690</v>
      </c>
      <c r="J83" s="16" t="s">
        <v>691</v>
      </c>
      <c r="K83" s="21"/>
      <c r="L83" s="16"/>
      <c r="M83" s="16"/>
      <c r="N83" s="21"/>
      <c r="O83" s="16"/>
      <c r="P83" s="16"/>
      <c r="Q83" s="16"/>
      <c r="R83"/>
      <c r="S83" t="s">
        <v>692</v>
      </c>
      <c r="T83" t="s">
        <v>693</v>
      </c>
      <c r="V83" t="s">
        <v>176</v>
      </c>
      <c r="W83" s="16" t="s">
        <v>694</v>
      </c>
      <c r="AA83" s="34" t="s">
        <v>691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  <c r="AU83" t="s">
        <v>695</v>
      </c>
      <c r="AV83" t="s">
        <v>696</v>
      </c>
      <c r="AW83" t="s">
        <v>697</v>
      </c>
      <c r="AZ83" t="s">
        <v>698</v>
      </c>
      <c r="BB83" s="31" t="s">
        <v>699</v>
      </c>
      <c r="BJ83" t="s">
        <v>217</v>
      </c>
      <c r="BM83" t="s">
        <v>130</v>
      </c>
      <c r="CA83">
        <v>2</v>
      </c>
      <c r="CB83">
        <v>205</v>
      </c>
    </row>
    <row r="84" spans="2:80" x14ac:dyDescent="0.25">
      <c r="C84" s="35">
        <v>67</v>
      </c>
      <c r="E84" s="7" t="s">
        <v>700</v>
      </c>
      <c r="J84" s="7" t="s">
        <v>700</v>
      </c>
      <c r="K84" s="21"/>
      <c r="L84" s="21"/>
      <c r="M84" s="21"/>
      <c r="N84" s="21"/>
      <c r="O84" s="21"/>
      <c r="P84" s="21"/>
      <c r="Q84" s="16"/>
      <c r="R84"/>
      <c r="S84" t="s">
        <v>701</v>
      </c>
      <c r="T84" t="s">
        <v>380</v>
      </c>
      <c r="V84" t="s">
        <v>176</v>
      </c>
      <c r="W84" s="16" t="s">
        <v>702</v>
      </c>
      <c r="AA84" s="34" t="s">
        <v>700</v>
      </c>
      <c r="AR84" t="s">
        <v>703</v>
      </c>
      <c r="AS84" t="s">
        <v>703</v>
      </c>
      <c r="AT84" t="s">
        <v>660</v>
      </c>
      <c r="AV84" t="s">
        <v>703</v>
      </c>
      <c r="AZ84" t="s">
        <v>704</v>
      </c>
      <c r="BM84" t="s">
        <v>111</v>
      </c>
      <c r="CA84">
        <v>2</v>
      </c>
      <c r="CB84">
        <v>175</v>
      </c>
    </row>
    <row r="85" spans="2:80" x14ac:dyDescent="0.25">
      <c r="C85" s="20">
        <v>3</v>
      </c>
      <c r="E85" t="s">
        <v>705</v>
      </c>
      <c r="K85" s="21"/>
      <c r="L85" s="21"/>
      <c r="M85" s="21"/>
      <c r="N85" s="21"/>
      <c r="O85" s="21"/>
      <c r="P85" s="21"/>
      <c r="Q85" s="16"/>
      <c r="R85">
        <v>10</v>
      </c>
      <c r="S85" t="s">
        <v>706</v>
      </c>
      <c r="T85" t="s">
        <v>707</v>
      </c>
      <c r="V85" t="s">
        <v>285</v>
      </c>
      <c r="W85" s="16" t="s">
        <v>708</v>
      </c>
      <c r="AD85" s="3" t="s">
        <v>439</v>
      </c>
      <c r="AE85" s="3" t="s">
        <v>439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  <c r="AU85" t="s">
        <v>709</v>
      </c>
      <c r="AV85" t="s">
        <v>710</v>
      </c>
      <c r="AW85" t="s">
        <v>711</v>
      </c>
      <c r="AY85" t="s">
        <v>712</v>
      </c>
      <c r="BB85" s="31" t="s">
        <v>713</v>
      </c>
      <c r="BC85" t="s">
        <v>714</v>
      </c>
      <c r="BF85" t="s">
        <v>715</v>
      </c>
      <c r="BG85" t="s">
        <v>416</v>
      </c>
      <c r="BJ85" t="s">
        <v>511</v>
      </c>
      <c r="BM85" t="s">
        <v>259</v>
      </c>
      <c r="CA85">
        <v>1</v>
      </c>
      <c r="CB85">
        <v>174</v>
      </c>
    </row>
    <row r="86" spans="2:80" x14ac:dyDescent="0.25">
      <c r="C86" s="20">
        <v>1</v>
      </c>
      <c r="E86" t="s">
        <v>716</v>
      </c>
      <c r="K86" s="21"/>
      <c r="L86" s="21"/>
      <c r="M86" s="21"/>
      <c r="N86" s="21"/>
      <c r="O86" s="21"/>
      <c r="P86" s="21"/>
      <c r="Q86" s="16"/>
      <c r="R86">
        <v>11</v>
      </c>
      <c r="S86" t="s">
        <v>717</v>
      </c>
      <c r="T86" t="s">
        <v>718</v>
      </c>
      <c r="V86" t="s">
        <v>285</v>
      </c>
      <c r="W86" s="16" t="s">
        <v>719</v>
      </c>
      <c r="AD86" s="3" t="s">
        <v>720</v>
      </c>
      <c r="AE86" s="3" t="s">
        <v>720</v>
      </c>
      <c r="AO86" t="s">
        <v>227</v>
      </c>
      <c r="AP86" t="s">
        <v>721</v>
      </c>
      <c r="AQ86" t="s">
        <v>721</v>
      </c>
      <c r="AR86" t="s">
        <v>721</v>
      </c>
      <c r="AS86" t="s">
        <v>721</v>
      </c>
      <c r="AT86" t="s">
        <v>721</v>
      </c>
      <c r="AU86" t="s">
        <v>721</v>
      </c>
      <c r="AV86" t="s">
        <v>722</v>
      </c>
      <c r="AW86" t="s">
        <v>723</v>
      </c>
      <c r="AY86" t="s">
        <v>724</v>
      </c>
      <c r="BB86" s="31" t="s">
        <v>725</v>
      </c>
      <c r="BD86" t="s">
        <v>184</v>
      </c>
      <c r="BF86" t="s">
        <v>726</v>
      </c>
      <c r="BN86" t="s">
        <v>727</v>
      </c>
      <c r="CA86">
        <v>1</v>
      </c>
      <c r="CB86">
        <v>157</v>
      </c>
    </row>
    <row r="87" spans="2:80" x14ac:dyDescent="0.25">
      <c r="C87" s="20">
        <v>2</v>
      </c>
      <c r="E87" t="s">
        <v>728</v>
      </c>
      <c r="J87" s="16"/>
      <c r="K87" s="21"/>
      <c r="L87" s="21"/>
      <c r="M87" s="16"/>
      <c r="N87" s="21"/>
      <c r="O87" s="21"/>
      <c r="P87" s="16"/>
      <c r="Q87" s="16"/>
      <c r="R87" s="1">
        <v>12</v>
      </c>
      <c r="S87" s="1" t="s">
        <v>729</v>
      </c>
      <c r="T87" s="1" t="s">
        <v>730</v>
      </c>
      <c r="V87" t="s">
        <v>285</v>
      </c>
      <c r="W87" s="16" t="s">
        <v>731</v>
      </c>
      <c r="AH87" t="s">
        <v>732</v>
      </c>
      <c r="AI87" t="s">
        <v>732</v>
      </c>
      <c r="AM87" s="4" t="s">
        <v>733</v>
      </c>
      <c r="AO87" t="s">
        <v>208</v>
      </c>
      <c r="AR87" t="s">
        <v>734</v>
      </c>
      <c r="AS87" t="s">
        <v>734</v>
      </c>
      <c r="AT87" t="s">
        <v>735</v>
      </c>
      <c r="AV87" t="s">
        <v>734</v>
      </c>
      <c r="BB87" s="31" t="s">
        <v>736</v>
      </c>
      <c r="BC87" s="31" t="s">
        <v>714</v>
      </c>
      <c r="BI87" t="s">
        <v>737</v>
      </c>
      <c r="BN87" t="s">
        <v>738</v>
      </c>
      <c r="BO87" t="s">
        <v>418</v>
      </c>
      <c r="CA87">
        <v>1</v>
      </c>
      <c r="CB87">
        <v>127</v>
      </c>
    </row>
    <row r="88" spans="2:80" x14ac:dyDescent="0.25">
      <c r="C88" s="20">
        <v>6</v>
      </c>
      <c r="J88" s="16"/>
      <c r="K88" s="21"/>
      <c r="L88" s="16"/>
      <c r="M88" s="16"/>
      <c r="N88" s="21"/>
      <c r="O88" s="16"/>
      <c r="P88" s="16"/>
      <c r="Q88" s="16"/>
      <c r="R88" s="1">
        <v>13</v>
      </c>
      <c r="S88" s="1" t="s">
        <v>739</v>
      </c>
      <c r="T88" s="1" t="s">
        <v>740</v>
      </c>
      <c r="V88" t="s">
        <v>285</v>
      </c>
      <c r="W88" s="16" t="s">
        <v>741</v>
      </c>
      <c r="AH88" t="s">
        <v>742</v>
      </c>
      <c r="AI88" t="s">
        <v>742</v>
      </c>
      <c r="AM88" s="4" t="s">
        <v>194</v>
      </c>
      <c r="AQ88" t="s">
        <v>743</v>
      </c>
      <c r="AS88" t="s">
        <v>743</v>
      </c>
      <c r="AT88" t="s">
        <v>735</v>
      </c>
      <c r="AV88" t="s">
        <v>744</v>
      </c>
      <c r="BB88" s="31" t="s">
        <v>745</v>
      </c>
      <c r="BC88" s="31" t="s">
        <v>746</v>
      </c>
      <c r="BF88" t="s">
        <v>534</v>
      </c>
      <c r="BI88" t="s">
        <v>747</v>
      </c>
      <c r="BJ88" t="s">
        <v>244</v>
      </c>
      <c r="BN88" t="s">
        <v>748</v>
      </c>
      <c r="CA88">
        <v>1</v>
      </c>
      <c r="CB88">
        <v>102</v>
      </c>
    </row>
    <row r="89" spans="2:80" x14ac:dyDescent="0.25">
      <c r="C89" s="20">
        <v>4</v>
      </c>
      <c r="J89" s="16"/>
      <c r="K89" s="21"/>
      <c r="L89" s="16"/>
      <c r="M89" s="16"/>
      <c r="N89" s="21"/>
      <c r="O89" s="16"/>
      <c r="P89" s="16"/>
      <c r="Q89" s="16"/>
      <c r="R89" s="1">
        <v>14</v>
      </c>
      <c r="S89" s="1" t="s">
        <v>749</v>
      </c>
      <c r="T89" s="1" t="s">
        <v>750</v>
      </c>
      <c r="V89" t="s">
        <v>285</v>
      </c>
      <c r="W89" s="16" t="s">
        <v>751</v>
      </c>
      <c r="AH89" t="s">
        <v>752</v>
      </c>
      <c r="AI89" t="s">
        <v>752</v>
      </c>
      <c r="AM89" s="4" t="s">
        <v>179</v>
      </c>
      <c r="AN89" s="4" t="s">
        <v>250</v>
      </c>
      <c r="AQ89" t="s">
        <v>753</v>
      </c>
      <c r="BB89" s="31" t="s">
        <v>754</v>
      </c>
      <c r="BC89" s="31" t="s">
        <v>755</v>
      </c>
      <c r="BF89" t="s">
        <v>318</v>
      </c>
      <c r="BI89" t="s">
        <v>756</v>
      </c>
      <c r="BJ89" t="s">
        <v>233</v>
      </c>
      <c r="BN89" t="s">
        <v>757</v>
      </c>
      <c r="CA89">
        <v>1</v>
      </c>
      <c r="CB89">
        <v>111</v>
      </c>
    </row>
    <row r="90" spans="2:80" x14ac:dyDescent="0.25">
      <c r="C90" s="20"/>
      <c r="D90">
        <v>71</v>
      </c>
      <c r="J90" s="16"/>
      <c r="K90" s="21"/>
      <c r="L90" s="16"/>
      <c r="M90" s="16"/>
      <c r="N90" s="21"/>
      <c r="O90" s="16"/>
      <c r="P90" s="16"/>
      <c r="Q90" s="16"/>
      <c r="R90" s="1">
        <v>29</v>
      </c>
      <c r="S90" s="1" t="s">
        <v>758</v>
      </c>
      <c r="T90" s="1" t="s">
        <v>759</v>
      </c>
      <c r="V90" t="s">
        <v>285</v>
      </c>
      <c r="W90" s="16" t="s">
        <v>760</v>
      </c>
      <c r="AD90" s="3" t="s">
        <v>761</v>
      </c>
      <c r="AE90" s="3" t="s">
        <v>761</v>
      </c>
      <c r="AH90" s="31" t="s">
        <v>762</v>
      </c>
      <c r="AI90" t="s">
        <v>762</v>
      </c>
      <c r="AJ90" s="31" t="s">
        <v>763</v>
      </c>
      <c r="AK90" s="31" t="s">
        <v>764</v>
      </c>
      <c r="AM90" s="31" t="s">
        <v>765</v>
      </c>
      <c r="AN90" s="4" t="s">
        <v>239</v>
      </c>
      <c r="AR90" t="s">
        <v>766</v>
      </c>
      <c r="AS90" t="s">
        <v>766</v>
      </c>
      <c r="AT90" t="s">
        <v>767</v>
      </c>
      <c r="AV90" t="s">
        <v>766</v>
      </c>
      <c r="BB90" s="31" t="s">
        <v>768</v>
      </c>
      <c r="BC90" s="31" t="s">
        <v>769</v>
      </c>
      <c r="BF90" t="s">
        <v>256</v>
      </c>
      <c r="BG90" t="s">
        <v>416</v>
      </c>
      <c r="BM90" t="s">
        <v>770</v>
      </c>
      <c r="CA90">
        <v>1</v>
      </c>
      <c r="CB90">
        <v>91</v>
      </c>
    </row>
    <row r="91" spans="2:80" x14ac:dyDescent="0.25">
      <c r="C91" s="20"/>
      <c r="D91">
        <v>63</v>
      </c>
      <c r="J91" s="16"/>
      <c r="K91" s="21"/>
      <c r="L91" s="16"/>
      <c r="M91" s="16"/>
      <c r="N91" s="21"/>
      <c r="O91" s="16"/>
      <c r="P91" s="16"/>
      <c r="Q91" s="16"/>
      <c r="R91" s="1">
        <v>30</v>
      </c>
      <c r="S91" s="1" t="s">
        <v>771</v>
      </c>
      <c r="T91" s="1" t="s">
        <v>772</v>
      </c>
      <c r="V91" t="s">
        <v>285</v>
      </c>
      <c r="W91" s="16" t="s">
        <v>773</v>
      </c>
      <c r="AD91" s="3" t="s">
        <v>774</v>
      </c>
      <c r="AE91" s="3" t="s">
        <v>774</v>
      </c>
      <c r="AH91" s="31" t="s">
        <v>775</v>
      </c>
      <c r="AI91" t="s">
        <v>775</v>
      </c>
      <c r="AK91" s="31" t="s">
        <v>776</v>
      </c>
      <c r="AM91" s="31" t="s">
        <v>777</v>
      </c>
      <c r="AN91" s="4" t="s">
        <v>226</v>
      </c>
      <c r="AP91" t="s">
        <v>778</v>
      </c>
      <c r="AQ91" t="s">
        <v>778</v>
      </c>
      <c r="AR91" t="s">
        <v>778</v>
      </c>
      <c r="AS91" t="s">
        <v>778</v>
      </c>
      <c r="AT91" t="s">
        <v>778</v>
      </c>
      <c r="AU91" t="s">
        <v>778</v>
      </c>
      <c r="AV91" t="s">
        <v>779</v>
      </c>
      <c r="AW91" t="s">
        <v>780</v>
      </c>
      <c r="AZ91" t="s">
        <v>781</v>
      </c>
      <c r="BB91" t="s">
        <v>430</v>
      </c>
      <c r="BC91" s="31" t="s">
        <v>782</v>
      </c>
      <c r="BF91" t="s">
        <v>243</v>
      </c>
      <c r="BM91" t="s">
        <v>280</v>
      </c>
      <c r="CA91">
        <v>1</v>
      </c>
      <c r="CB91">
        <v>82</v>
      </c>
    </row>
    <row r="92" spans="2:80" x14ac:dyDescent="0.25">
      <c r="B92">
        <v>29</v>
      </c>
      <c r="C92" s="20"/>
      <c r="E92" s="27" t="s">
        <v>783</v>
      </c>
      <c r="J92" t="s">
        <v>784</v>
      </c>
      <c r="K92" s="21"/>
      <c r="L92" s="16"/>
      <c r="M92" s="16"/>
      <c r="N92" s="21"/>
      <c r="O92" s="16"/>
      <c r="P92" s="16"/>
      <c r="Q92" s="16"/>
      <c r="R92" s="1">
        <v>9</v>
      </c>
      <c r="S92" s="1" t="s">
        <v>785</v>
      </c>
      <c r="T92" s="1" t="s">
        <v>786</v>
      </c>
      <c r="V92" t="s">
        <v>285</v>
      </c>
      <c r="W92" s="16" t="s">
        <v>787</v>
      </c>
      <c r="Z92" s="36" t="s">
        <v>784</v>
      </c>
      <c r="AG92" t="s">
        <v>788</v>
      </c>
      <c r="AL92" t="s">
        <v>789</v>
      </c>
      <c r="AM92" s="4" t="s">
        <v>249</v>
      </c>
      <c r="AR92" t="s">
        <v>790</v>
      </c>
      <c r="AS92" t="s">
        <v>790</v>
      </c>
      <c r="AT92" t="s">
        <v>735</v>
      </c>
      <c r="AV92" t="s">
        <v>790</v>
      </c>
      <c r="AX92" t="s">
        <v>791</v>
      </c>
      <c r="BF92" t="s">
        <v>288</v>
      </c>
      <c r="BG92" t="s">
        <v>186</v>
      </c>
      <c r="BI92" t="s">
        <v>792</v>
      </c>
      <c r="BJ92" t="s">
        <v>217</v>
      </c>
      <c r="BM92" t="s">
        <v>793</v>
      </c>
      <c r="BQ92" t="s">
        <v>794</v>
      </c>
      <c r="BR92" t="s">
        <v>794</v>
      </c>
      <c r="BS92" t="s">
        <v>794</v>
      </c>
      <c r="BT92" t="s">
        <v>794</v>
      </c>
      <c r="BU92" t="s">
        <v>794</v>
      </c>
      <c r="CA92">
        <v>1</v>
      </c>
      <c r="CB92">
        <v>188</v>
      </c>
    </row>
    <row r="93" spans="2:80" x14ac:dyDescent="0.25">
      <c r="B93">
        <v>35</v>
      </c>
      <c r="C93" s="20"/>
      <c r="E93" s="27" t="s">
        <v>795</v>
      </c>
      <c r="J93" t="s">
        <v>796</v>
      </c>
      <c r="K93" s="21"/>
      <c r="L93" s="16"/>
      <c r="M93" s="16"/>
      <c r="N93" s="21"/>
      <c r="O93" s="16"/>
      <c r="P93" s="16"/>
      <c r="Q93" s="16"/>
      <c r="R93" s="1">
        <v>8</v>
      </c>
      <c r="S93" s="1" t="s">
        <v>797</v>
      </c>
      <c r="T93" s="1" t="s">
        <v>717</v>
      </c>
      <c r="V93" t="s">
        <v>285</v>
      </c>
      <c r="W93" s="16" t="s">
        <v>798</v>
      </c>
      <c r="Z93" s="36" t="s">
        <v>796</v>
      </c>
      <c r="AG93" t="s">
        <v>396</v>
      </c>
      <c r="AL93" t="s">
        <v>799</v>
      </c>
      <c r="AM93" s="4" t="s">
        <v>800</v>
      </c>
      <c r="AP93" t="s">
        <v>801</v>
      </c>
      <c r="AQ93" t="s">
        <v>801</v>
      </c>
      <c r="AR93" t="s">
        <v>801</v>
      </c>
      <c r="AS93" t="s">
        <v>801</v>
      </c>
      <c r="AT93" t="s">
        <v>801</v>
      </c>
      <c r="AU93" t="s">
        <v>801</v>
      </c>
      <c r="AV93" t="s">
        <v>802</v>
      </c>
      <c r="AW93" t="s">
        <v>803</v>
      </c>
      <c r="AX93" t="s">
        <v>804</v>
      </c>
      <c r="BE93" t="s">
        <v>214</v>
      </c>
      <c r="BF93" t="s">
        <v>292</v>
      </c>
      <c r="BH93" t="s">
        <v>805</v>
      </c>
      <c r="BJ93" t="s">
        <v>258</v>
      </c>
      <c r="BM93" t="s">
        <v>806</v>
      </c>
      <c r="BQ93" t="s">
        <v>450</v>
      </c>
      <c r="BR93" t="s">
        <v>450</v>
      </c>
      <c r="BS93" t="s">
        <v>450</v>
      </c>
      <c r="BT93" t="s">
        <v>450</v>
      </c>
      <c r="BU93" t="s">
        <v>450</v>
      </c>
      <c r="CA93">
        <v>1</v>
      </c>
      <c r="CB93">
        <v>140</v>
      </c>
    </row>
    <row r="94" spans="2:80" x14ac:dyDescent="0.25">
      <c r="B94">
        <v>33</v>
      </c>
      <c r="C94" s="20"/>
      <c r="E94" s="27" t="s">
        <v>807</v>
      </c>
      <c r="J94" s="16" t="s">
        <v>314</v>
      </c>
      <c r="K94" s="21"/>
      <c r="L94" s="16"/>
      <c r="M94" s="16"/>
      <c r="N94" s="21"/>
      <c r="O94" s="16" t="s">
        <v>283</v>
      </c>
      <c r="P94" s="16" t="s">
        <v>273</v>
      </c>
      <c r="Q94" s="16"/>
      <c r="R94" s="1">
        <v>7</v>
      </c>
      <c r="S94" s="1" t="s">
        <v>808</v>
      </c>
      <c r="T94" s="1" t="s">
        <v>809</v>
      </c>
      <c r="V94" t="s">
        <v>285</v>
      </c>
      <c r="W94" s="16" t="s">
        <v>810</v>
      </c>
      <c r="Z94" s="3" t="s">
        <v>811</v>
      </c>
      <c r="AG94" t="s">
        <v>812</v>
      </c>
      <c r="AL94" t="s">
        <v>248</v>
      </c>
      <c r="AM94" s="4" t="s">
        <v>179</v>
      </c>
      <c r="AP94" t="s">
        <v>813</v>
      </c>
      <c r="AQ94" t="s">
        <v>813</v>
      </c>
      <c r="AR94" t="s">
        <v>813</v>
      </c>
      <c r="AS94" t="s">
        <v>813</v>
      </c>
      <c r="AT94" t="s">
        <v>813</v>
      </c>
      <c r="AU94" t="s">
        <v>813</v>
      </c>
      <c r="AV94" t="s">
        <v>814</v>
      </c>
      <c r="AW94" t="s">
        <v>815</v>
      </c>
      <c r="AX94" s="27" t="s">
        <v>314</v>
      </c>
      <c r="BE94" t="s">
        <v>231</v>
      </c>
      <c r="BH94" t="s">
        <v>816</v>
      </c>
      <c r="BJ94" t="s">
        <v>270</v>
      </c>
      <c r="BM94" t="s">
        <v>548</v>
      </c>
      <c r="BQ94" t="s">
        <v>817</v>
      </c>
      <c r="BR94" t="s">
        <v>817</v>
      </c>
      <c r="BS94" t="s">
        <v>817</v>
      </c>
      <c r="BT94" t="s">
        <v>817</v>
      </c>
      <c r="BU94" t="s">
        <v>817</v>
      </c>
      <c r="CA94">
        <v>1</v>
      </c>
      <c r="CB94">
        <v>187</v>
      </c>
    </row>
    <row r="95" spans="2:80" x14ac:dyDescent="0.25">
      <c r="B95">
        <v>30</v>
      </c>
      <c r="C95" s="20"/>
      <c r="E95" s="27" t="s">
        <v>818</v>
      </c>
      <c r="J95" s="16" t="s">
        <v>330</v>
      </c>
      <c r="K95" s="21"/>
      <c r="L95" s="16"/>
      <c r="M95" s="16"/>
      <c r="N95" s="21"/>
      <c r="O95" s="16" t="s">
        <v>283</v>
      </c>
      <c r="P95" s="16" t="s">
        <v>273</v>
      </c>
      <c r="Q95" s="16"/>
      <c r="R95" s="1">
        <v>6</v>
      </c>
      <c r="S95" s="1" t="s">
        <v>819</v>
      </c>
      <c r="T95" s="1" t="s">
        <v>820</v>
      </c>
      <c r="V95" t="s">
        <v>285</v>
      </c>
      <c r="W95" s="16" t="s">
        <v>821</v>
      </c>
      <c r="Z95" s="3" t="s">
        <v>822</v>
      </c>
      <c r="AG95" t="s">
        <v>823</v>
      </c>
      <c r="AL95" t="s">
        <v>237</v>
      </c>
      <c r="AM95" s="4" t="s">
        <v>194</v>
      </c>
      <c r="AR95" t="s">
        <v>824</v>
      </c>
      <c r="AS95" t="s">
        <v>824</v>
      </c>
      <c r="AT95" t="s">
        <v>660</v>
      </c>
      <c r="AV95" t="s">
        <v>824</v>
      </c>
      <c r="AX95" s="27" t="s">
        <v>330</v>
      </c>
      <c r="BE95" t="s">
        <v>464</v>
      </c>
      <c r="BF95" t="s">
        <v>299</v>
      </c>
      <c r="BG95" t="s">
        <v>663</v>
      </c>
      <c r="BJ95" t="s">
        <v>279</v>
      </c>
      <c r="BM95" t="s">
        <v>560</v>
      </c>
      <c r="BQ95" t="s">
        <v>825</v>
      </c>
      <c r="BR95" t="s">
        <v>825</v>
      </c>
      <c r="BS95" t="s">
        <v>825</v>
      </c>
      <c r="BT95" t="s">
        <v>825</v>
      </c>
      <c r="BU95" t="s">
        <v>825</v>
      </c>
      <c r="CA95">
        <v>1</v>
      </c>
      <c r="CB95">
        <v>118</v>
      </c>
    </row>
    <row r="96" spans="2:80" x14ac:dyDescent="0.25">
      <c r="B96">
        <v>37</v>
      </c>
      <c r="C96" s="20"/>
      <c r="E96" s="22" t="s">
        <v>826</v>
      </c>
      <c r="J96" s="16" t="s">
        <v>827</v>
      </c>
      <c r="K96" s="21"/>
      <c r="L96" s="16"/>
      <c r="M96" s="16"/>
      <c r="N96" s="21"/>
      <c r="O96" s="16"/>
      <c r="P96" s="16"/>
      <c r="Q96" s="16"/>
      <c r="R96"/>
      <c r="S96" t="s">
        <v>828</v>
      </c>
      <c r="T96" t="s">
        <v>829</v>
      </c>
      <c r="V96" t="s">
        <v>285</v>
      </c>
      <c r="W96" s="16" t="s">
        <v>830</v>
      </c>
      <c r="Z96" s="3" t="s">
        <v>831</v>
      </c>
      <c r="AA96" s="37" t="s">
        <v>827</v>
      </c>
      <c r="AG96" t="s">
        <v>684</v>
      </c>
      <c r="AL96" t="s">
        <v>832</v>
      </c>
      <c r="AQ96" t="s">
        <v>833</v>
      </c>
      <c r="AS96" t="s">
        <v>833</v>
      </c>
      <c r="AT96" t="s">
        <v>660</v>
      </c>
      <c r="AV96" t="s">
        <v>834</v>
      </c>
      <c r="BE96" t="s">
        <v>475</v>
      </c>
      <c r="BF96" t="s">
        <v>305</v>
      </c>
      <c r="BG96" t="s">
        <v>677</v>
      </c>
      <c r="BM96" t="s">
        <v>376</v>
      </c>
      <c r="BO96" t="s">
        <v>418</v>
      </c>
      <c r="BQ96" t="s">
        <v>835</v>
      </c>
      <c r="BR96" t="s">
        <v>835</v>
      </c>
      <c r="BS96" t="s">
        <v>835</v>
      </c>
      <c r="BT96" t="s">
        <v>835</v>
      </c>
      <c r="BU96" t="s">
        <v>835</v>
      </c>
      <c r="CA96">
        <v>1</v>
      </c>
      <c r="CB96">
        <v>139</v>
      </c>
    </row>
    <row r="97" spans="2:80" x14ac:dyDescent="0.25">
      <c r="B97">
        <v>39</v>
      </c>
      <c r="C97" s="20"/>
      <c r="E97" s="22" t="s">
        <v>836</v>
      </c>
      <c r="J97" s="16" t="s">
        <v>837</v>
      </c>
      <c r="K97" s="21"/>
      <c r="L97" s="16"/>
      <c r="M97" s="16" t="s">
        <v>283</v>
      </c>
      <c r="N97" s="21"/>
      <c r="O97" s="16"/>
      <c r="P97" s="16"/>
      <c r="Q97" s="16"/>
      <c r="R97"/>
      <c r="S97"/>
      <c r="T97" t="s">
        <v>838</v>
      </c>
      <c r="V97" t="s">
        <v>285</v>
      </c>
      <c r="W97" s="16" t="s">
        <v>839</v>
      </c>
      <c r="Z97" s="3" t="s">
        <v>840</v>
      </c>
      <c r="AG97" t="s">
        <v>383</v>
      </c>
      <c r="AL97" t="s">
        <v>841</v>
      </c>
      <c r="AQ97" t="s">
        <v>842</v>
      </c>
      <c r="BE97" t="s">
        <v>483</v>
      </c>
      <c r="BF97" t="s">
        <v>637</v>
      </c>
      <c r="BG97" t="s">
        <v>501</v>
      </c>
      <c r="BN97" s="22" t="s">
        <v>843</v>
      </c>
      <c r="BQ97" t="s">
        <v>844</v>
      </c>
      <c r="BR97" t="s">
        <v>844</v>
      </c>
      <c r="BS97" t="s">
        <v>844</v>
      </c>
      <c r="BT97" t="s">
        <v>844</v>
      </c>
      <c r="BU97" t="s">
        <v>844</v>
      </c>
      <c r="CA97">
        <v>1</v>
      </c>
      <c r="CB97">
        <v>137</v>
      </c>
    </row>
    <row r="98" spans="2:80" x14ac:dyDescent="0.25">
      <c r="C98" s="20">
        <v>5</v>
      </c>
      <c r="J98" s="16"/>
      <c r="K98" s="21"/>
      <c r="L98" s="16"/>
      <c r="M98" s="16"/>
      <c r="N98" s="21"/>
      <c r="O98" s="16"/>
      <c r="P98" s="16"/>
      <c r="Q98" s="16"/>
      <c r="R98"/>
      <c r="S98"/>
      <c r="T98" t="s">
        <v>845</v>
      </c>
      <c r="V98" t="s">
        <v>285</v>
      </c>
      <c r="W98" s="16" t="s">
        <v>846</v>
      </c>
      <c r="AH98" t="s">
        <v>847</v>
      </c>
      <c r="AI98" t="s">
        <v>847</v>
      </c>
      <c r="BE98" t="s">
        <v>490</v>
      </c>
      <c r="BF98" t="s">
        <v>651</v>
      </c>
      <c r="BH98" t="s">
        <v>592</v>
      </c>
      <c r="BM98" t="s">
        <v>848</v>
      </c>
      <c r="BQ98" t="s">
        <v>849</v>
      </c>
      <c r="BR98" t="s">
        <v>849</v>
      </c>
      <c r="BS98" t="s">
        <v>849</v>
      </c>
      <c r="BT98" t="s">
        <v>849</v>
      </c>
      <c r="BU98" t="s">
        <v>849</v>
      </c>
      <c r="CA98">
        <v>1</v>
      </c>
      <c r="CB98">
        <v>171</v>
      </c>
    </row>
    <row r="99" spans="2:80" x14ac:dyDescent="0.25">
      <c r="C99" s="20">
        <v>8</v>
      </c>
      <c r="J99" s="16"/>
      <c r="K99" s="21"/>
      <c r="L99" s="16"/>
      <c r="M99" s="16"/>
      <c r="N99" s="21"/>
      <c r="O99" s="16"/>
      <c r="P99" s="16"/>
      <c r="Q99" s="16"/>
      <c r="R99" s="1">
        <v>5</v>
      </c>
      <c r="S99" s="1" t="s">
        <v>850</v>
      </c>
      <c r="T99" s="1" t="s">
        <v>851</v>
      </c>
      <c r="V99" t="s">
        <v>285</v>
      </c>
      <c r="W99" s="16" t="s">
        <v>852</v>
      </c>
      <c r="AD99" s="3" t="s">
        <v>853</v>
      </c>
      <c r="AE99" s="3" t="s">
        <v>853</v>
      </c>
      <c r="AH99" t="s">
        <v>854</v>
      </c>
      <c r="AI99" t="s">
        <v>854</v>
      </c>
      <c r="AJ99" t="s">
        <v>854</v>
      </c>
      <c r="AK99" t="s">
        <v>854</v>
      </c>
      <c r="AM99" s="4" t="s">
        <v>225</v>
      </c>
      <c r="AO99" t="s">
        <v>461</v>
      </c>
      <c r="AP99" t="s">
        <v>855</v>
      </c>
      <c r="AQ99" t="s">
        <v>855</v>
      </c>
      <c r="AR99" t="s">
        <v>855</v>
      </c>
      <c r="AS99" t="s">
        <v>855</v>
      </c>
      <c r="AT99" t="s">
        <v>855</v>
      </c>
      <c r="AU99" t="s">
        <v>855</v>
      </c>
      <c r="AV99" t="s">
        <v>856</v>
      </c>
      <c r="AW99" t="s">
        <v>857</v>
      </c>
      <c r="AZ99" t="s">
        <v>858</v>
      </c>
      <c r="BF99" t="s">
        <v>484</v>
      </c>
      <c r="BM99" t="s">
        <v>581</v>
      </c>
      <c r="BQ99" t="s">
        <v>859</v>
      </c>
      <c r="BR99" t="s">
        <v>859</v>
      </c>
      <c r="BS99" t="s">
        <v>859</v>
      </c>
      <c r="BT99" t="s">
        <v>859</v>
      </c>
      <c r="BU99" t="s">
        <v>859</v>
      </c>
      <c r="CA99">
        <v>1</v>
      </c>
      <c r="CB99">
        <v>126</v>
      </c>
    </row>
    <row r="100" spans="2:80" x14ac:dyDescent="0.25">
      <c r="C100" s="20">
        <v>10</v>
      </c>
      <c r="J100" s="16"/>
      <c r="K100" s="21"/>
      <c r="L100" s="16"/>
      <c r="M100" s="16"/>
      <c r="N100" s="21"/>
      <c r="O100" s="16"/>
      <c r="P100" s="16"/>
      <c r="Q100" s="16"/>
      <c r="R100" s="1">
        <v>4</v>
      </c>
      <c r="S100" s="1" t="s">
        <v>851</v>
      </c>
      <c r="T100" s="1" t="s">
        <v>860</v>
      </c>
      <c r="V100" t="s">
        <v>285</v>
      </c>
      <c r="W100" s="16" t="s">
        <v>861</v>
      </c>
      <c r="AD100" s="3" t="s">
        <v>862</v>
      </c>
      <c r="AE100" s="3" t="s">
        <v>862</v>
      </c>
      <c r="AH100" t="s">
        <v>863</v>
      </c>
      <c r="AI100" t="s">
        <v>863</v>
      </c>
      <c r="AJ100" t="s">
        <v>863</v>
      </c>
      <c r="AK100" t="s">
        <v>863</v>
      </c>
      <c r="AM100" s="4" t="s">
        <v>238</v>
      </c>
      <c r="AO100" t="s">
        <v>472</v>
      </c>
      <c r="AP100" t="s">
        <v>864</v>
      </c>
      <c r="AQ100" t="s">
        <v>864</v>
      </c>
      <c r="AR100" t="s">
        <v>864</v>
      </c>
      <c r="AS100" t="s">
        <v>864</v>
      </c>
      <c r="AT100" t="s">
        <v>864</v>
      </c>
      <c r="AU100" t="s">
        <v>864</v>
      </c>
      <c r="AV100" t="s">
        <v>865</v>
      </c>
      <c r="AW100" t="s">
        <v>866</v>
      </c>
      <c r="AZ100" t="s">
        <v>867</v>
      </c>
      <c r="BF100" t="s">
        <v>491</v>
      </c>
      <c r="BM100" t="s">
        <v>593</v>
      </c>
      <c r="BS100" t="s">
        <v>868</v>
      </c>
      <c r="BT100" t="s">
        <v>868</v>
      </c>
      <c r="BU100" t="s">
        <v>868</v>
      </c>
      <c r="CA100">
        <v>1</v>
      </c>
      <c r="CB100">
        <v>186</v>
      </c>
    </row>
    <row r="101" spans="2:80" x14ac:dyDescent="0.25">
      <c r="C101" s="20">
        <v>28</v>
      </c>
      <c r="J101" s="16"/>
      <c r="K101" s="21"/>
      <c r="L101" s="21"/>
      <c r="M101" s="21"/>
      <c r="N101" s="21"/>
      <c r="O101" s="21"/>
      <c r="P101" s="21"/>
      <c r="Q101" s="16"/>
      <c r="R101"/>
      <c r="S101"/>
      <c r="T101" t="s">
        <v>869</v>
      </c>
      <c r="V101" t="s">
        <v>176</v>
      </c>
      <c r="W101" s="16" t="s">
        <v>870</v>
      </c>
      <c r="AF101" s="3" t="s">
        <v>871</v>
      </c>
      <c r="AG101" t="s">
        <v>396</v>
      </c>
      <c r="AP101" t="s">
        <v>872</v>
      </c>
      <c r="AQ101" t="s">
        <v>872</v>
      </c>
      <c r="AR101" t="s">
        <v>872</v>
      </c>
      <c r="AS101" t="s">
        <v>872</v>
      </c>
      <c r="AT101" t="s">
        <v>872</v>
      </c>
      <c r="AU101" t="s">
        <v>872</v>
      </c>
      <c r="AV101" t="s">
        <v>873</v>
      </c>
      <c r="AW101" t="s">
        <v>874</v>
      </c>
      <c r="BB101" t="s">
        <v>875</v>
      </c>
      <c r="BF101" t="s">
        <v>876</v>
      </c>
      <c r="BJ101" t="s">
        <v>877</v>
      </c>
      <c r="BM101" t="s">
        <v>282</v>
      </c>
      <c r="BO101" t="s">
        <v>418</v>
      </c>
      <c r="CB101">
        <v>208</v>
      </c>
    </row>
    <row r="102" spans="2:80" x14ac:dyDescent="0.25">
      <c r="C102" s="20">
        <v>26</v>
      </c>
      <c r="H102" s="16"/>
      <c r="J102" s="16"/>
      <c r="K102" s="21"/>
      <c r="L102" s="21"/>
      <c r="M102" s="21"/>
      <c r="N102" s="21"/>
      <c r="O102" s="21"/>
      <c r="P102" s="21"/>
      <c r="Q102" s="16"/>
      <c r="R102"/>
      <c r="S102"/>
      <c r="T102" t="s">
        <v>878</v>
      </c>
      <c r="V102" t="s">
        <v>176</v>
      </c>
      <c r="W102" s="16" t="s">
        <v>879</v>
      </c>
      <c r="AF102" s="3" t="s">
        <v>880</v>
      </c>
      <c r="AG102" t="s">
        <v>424</v>
      </c>
      <c r="AP102" t="s">
        <v>881</v>
      </c>
      <c r="AQ102" t="s">
        <v>881</v>
      </c>
      <c r="AR102" t="s">
        <v>881</v>
      </c>
      <c r="AS102" t="s">
        <v>881</v>
      </c>
      <c r="AT102" t="s">
        <v>881</v>
      </c>
      <c r="AU102" t="s">
        <v>881</v>
      </c>
      <c r="AV102" t="s">
        <v>882</v>
      </c>
      <c r="AW102" t="s">
        <v>883</v>
      </c>
      <c r="BB102" t="s">
        <v>884</v>
      </c>
      <c r="BF102" t="s">
        <v>885</v>
      </c>
      <c r="BJ102" t="s">
        <v>886</v>
      </c>
      <c r="BM102" t="s">
        <v>455</v>
      </c>
      <c r="CB102">
        <v>181</v>
      </c>
    </row>
    <row r="103" spans="2:80" x14ac:dyDescent="0.25">
      <c r="C103" s="20">
        <v>30</v>
      </c>
      <c r="J103" s="16"/>
      <c r="K103" s="21"/>
      <c r="L103" s="21"/>
      <c r="M103" s="21"/>
      <c r="N103" s="21"/>
      <c r="O103" s="21"/>
      <c r="P103" s="21"/>
      <c r="Q103" s="16"/>
      <c r="R103"/>
      <c r="S103"/>
      <c r="T103" t="s">
        <v>887</v>
      </c>
      <c r="V103" t="s">
        <v>176</v>
      </c>
      <c r="W103" s="16" t="s">
        <v>888</v>
      </c>
      <c r="AF103" s="3" t="s">
        <v>669</v>
      </c>
      <c r="AG103" t="s">
        <v>409</v>
      </c>
      <c r="AR103" t="s">
        <v>889</v>
      </c>
      <c r="AS103" t="s">
        <v>889</v>
      </c>
      <c r="AT103" t="s">
        <v>252</v>
      </c>
      <c r="AV103" t="s">
        <v>889</v>
      </c>
      <c r="BB103" t="s">
        <v>890</v>
      </c>
      <c r="BF103" t="s">
        <v>891</v>
      </c>
      <c r="BJ103" t="s">
        <v>892</v>
      </c>
      <c r="BM103" t="s">
        <v>417</v>
      </c>
      <c r="CB103">
        <v>195</v>
      </c>
    </row>
    <row r="104" spans="2:80" x14ac:dyDescent="0.25">
      <c r="B104" s="30"/>
      <c r="C104" s="30"/>
      <c r="D104" s="30"/>
      <c r="E104" s="27" t="s">
        <v>893</v>
      </c>
      <c r="J104" t="s">
        <v>894</v>
      </c>
      <c r="K104" s="21"/>
      <c r="L104" s="16"/>
      <c r="M104" s="16"/>
      <c r="N104" s="21"/>
      <c r="O104" s="16"/>
      <c r="P104" s="16" t="s">
        <v>296</v>
      </c>
      <c r="Q104" s="16"/>
      <c r="R104">
        <v>113</v>
      </c>
      <c r="S104" t="s">
        <v>895</v>
      </c>
      <c r="T104" t="s">
        <v>896</v>
      </c>
      <c r="V104" t="s">
        <v>285</v>
      </c>
      <c r="W104" s="16" t="s">
        <v>897</v>
      </c>
      <c r="X104" t="s">
        <v>894</v>
      </c>
      <c r="Y104" s="27" t="s">
        <v>894</v>
      </c>
      <c r="AD104" s="3" t="s">
        <v>898</v>
      </c>
      <c r="AE104" s="3" t="s">
        <v>898</v>
      </c>
      <c r="BB104" t="s">
        <v>602</v>
      </c>
      <c r="BE104" t="s">
        <v>490</v>
      </c>
      <c r="BF104" t="s">
        <v>662</v>
      </c>
      <c r="BM104" t="s">
        <v>548</v>
      </c>
      <c r="BS104" t="s">
        <v>894</v>
      </c>
      <c r="BT104" t="s">
        <v>894</v>
      </c>
      <c r="BU104" t="s">
        <v>894</v>
      </c>
      <c r="CB104">
        <v>98</v>
      </c>
    </row>
    <row r="105" spans="2:80" x14ac:dyDescent="0.25">
      <c r="B105" s="30"/>
      <c r="C105" s="30"/>
      <c r="D105" s="30"/>
      <c r="E105" s="27" t="s">
        <v>899</v>
      </c>
      <c r="J105" t="s">
        <v>900</v>
      </c>
      <c r="K105" s="21"/>
      <c r="L105" s="16"/>
      <c r="M105" s="16"/>
      <c r="N105" s="21"/>
      <c r="O105" s="16"/>
      <c r="P105" s="16" t="s">
        <v>296</v>
      </c>
      <c r="Q105" s="16"/>
      <c r="R105">
        <v>114</v>
      </c>
      <c r="S105" t="s">
        <v>896</v>
      </c>
      <c r="T105" t="s">
        <v>901</v>
      </c>
      <c r="V105" t="s">
        <v>285</v>
      </c>
      <c r="W105" s="16" t="s">
        <v>902</v>
      </c>
      <c r="X105" t="s">
        <v>900</v>
      </c>
      <c r="Y105" s="27" t="s">
        <v>900</v>
      </c>
      <c r="AD105" s="3" t="s">
        <v>774</v>
      </c>
      <c r="AE105" s="3" t="s">
        <v>774</v>
      </c>
      <c r="BB105" t="s">
        <v>590</v>
      </c>
      <c r="BE105" t="s">
        <v>483</v>
      </c>
      <c r="BF105" t="s">
        <v>903</v>
      </c>
      <c r="BM105" t="s">
        <v>806</v>
      </c>
      <c r="BS105" t="s">
        <v>900</v>
      </c>
      <c r="BT105" t="s">
        <v>900</v>
      </c>
      <c r="BU105" t="s">
        <v>900</v>
      </c>
      <c r="CB105">
        <v>97</v>
      </c>
    </row>
    <row r="106" spans="2:80" x14ac:dyDescent="0.25">
      <c r="B106" s="30"/>
      <c r="C106" s="30"/>
      <c r="D106" s="30"/>
      <c r="E106" s="27" t="s">
        <v>904</v>
      </c>
      <c r="J106" t="s">
        <v>905</v>
      </c>
      <c r="K106" s="21"/>
      <c r="L106" s="16"/>
      <c r="M106" s="16"/>
      <c r="N106" s="21"/>
      <c r="O106" s="16"/>
      <c r="P106" s="16" t="s">
        <v>296</v>
      </c>
      <c r="Q106" s="16"/>
      <c r="R106">
        <v>115</v>
      </c>
      <c r="S106" t="s">
        <v>906</v>
      </c>
      <c r="T106" t="s">
        <v>895</v>
      </c>
      <c r="V106" t="s">
        <v>285</v>
      </c>
      <c r="W106" s="16" t="s">
        <v>907</v>
      </c>
      <c r="X106" t="s">
        <v>905</v>
      </c>
      <c r="Y106" s="27" t="s">
        <v>905</v>
      </c>
      <c r="AD106" s="3" t="s">
        <v>761</v>
      </c>
      <c r="AE106" s="3" t="s">
        <v>761</v>
      </c>
      <c r="BB106" s="31" t="s">
        <v>908</v>
      </c>
      <c r="BE106" t="s">
        <v>231</v>
      </c>
      <c r="BF106" t="s">
        <v>909</v>
      </c>
      <c r="BM106" t="s">
        <v>593</v>
      </c>
      <c r="BQ106" t="s">
        <v>905</v>
      </c>
      <c r="BS106" t="s">
        <v>905</v>
      </c>
      <c r="BT106" t="s">
        <v>905</v>
      </c>
      <c r="BU106" t="s">
        <v>905</v>
      </c>
      <c r="CB106">
        <v>99</v>
      </c>
    </row>
    <row r="107" spans="2:80" x14ac:dyDescent="0.25">
      <c r="B107" s="30"/>
      <c r="C107" s="30"/>
      <c r="D107" s="30"/>
      <c r="E107" s="27" t="s">
        <v>910</v>
      </c>
      <c r="J107" t="s">
        <v>911</v>
      </c>
      <c r="K107" s="21"/>
      <c r="L107" s="16"/>
      <c r="M107" s="16"/>
      <c r="N107" s="21"/>
      <c r="O107" s="16"/>
      <c r="P107" s="16" t="s">
        <v>296</v>
      </c>
      <c r="Q107" s="16"/>
      <c r="R107">
        <v>116</v>
      </c>
      <c r="S107" t="s">
        <v>17</v>
      </c>
      <c r="T107" t="s">
        <v>17</v>
      </c>
      <c r="V107" t="s">
        <v>285</v>
      </c>
      <c r="W107" s="16" t="s">
        <v>912</v>
      </c>
      <c r="X107" t="s">
        <v>911</v>
      </c>
      <c r="Y107" s="27" t="s">
        <v>911</v>
      </c>
      <c r="AD107" s="3" t="s">
        <v>720</v>
      </c>
      <c r="AE107" s="3" t="s">
        <v>720</v>
      </c>
      <c r="BB107" s="31" t="s">
        <v>913</v>
      </c>
      <c r="BE107" t="s">
        <v>214</v>
      </c>
      <c r="BF107" t="s">
        <v>454</v>
      </c>
      <c r="BM107" t="s">
        <v>581</v>
      </c>
      <c r="BQ107" t="s">
        <v>911</v>
      </c>
      <c r="BS107" t="s">
        <v>911</v>
      </c>
      <c r="BT107" t="s">
        <v>911</v>
      </c>
      <c r="BU107" t="s">
        <v>911</v>
      </c>
      <c r="CB107">
        <v>106</v>
      </c>
    </row>
    <row r="108" spans="2:80" x14ac:dyDescent="0.25">
      <c r="B108" s="30"/>
      <c r="C108" s="30"/>
      <c r="D108" s="30"/>
      <c r="E108" s="27" t="s">
        <v>914</v>
      </c>
      <c r="J108" t="s">
        <v>915</v>
      </c>
      <c r="K108" s="21"/>
      <c r="L108" s="16"/>
      <c r="M108" s="16"/>
      <c r="N108" s="21"/>
      <c r="O108" s="16"/>
      <c r="P108" s="16" t="s">
        <v>296</v>
      </c>
      <c r="Q108" s="16"/>
      <c r="R108">
        <v>117</v>
      </c>
      <c r="S108" t="s">
        <v>19</v>
      </c>
      <c r="T108" t="s">
        <v>18</v>
      </c>
      <c r="V108" t="s">
        <v>285</v>
      </c>
      <c r="W108" s="16" t="s">
        <v>916</v>
      </c>
      <c r="X108" t="s">
        <v>915</v>
      </c>
      <c r="Y108" s="27" t="s">
        <v>915</v>
      </c>
      <c r="AB108" s="5" t="s">
        <v>917</v>
      </c>
      <c r="AC108" s="5" t="s">
        <v>917</v>
      </c>
      <c r="AD108" s="3" t="s">
        <v>439</v>
      </c>
      <c r="AE108" s="3" t="s">
        <v>439</v>
      </c>
      <c r="AH108" t="s">
        <v>918</v>
      </c>
      <c r="AI108" t="s">
        <v>918</v>
      </c>
      <c r="AQ108" t="s">
        <v>919</v>
      </c>
      <c r="AS108" t="s">
        <v>919</v>
      </c>
      <c r="AT108" t="s">
        <v>920</v>
      </c>
      <c r="AV108" t="s">
        <v>921</v>
      </c>
      <c r="BE108" t="s">
        <v>675</v>
      </c>
      <c r="BF108" t="s">
        <v>491</v>
      </c>
      <c r="BM108" t="s">
        <v>922</v>
      </c>
      <c r="BQ108" t="s">
        <v>915</v>
      </c>
      <c r="BS108" t="s">
        <v>915</v>
      </c>
      <c r="BT108" t="s">
        <v>915</v>
      </c>
      <c r="BU108" t="s">
        <v>915</v>
      </c>
      <c r="CB108">
        <v>107</v>
      </c>
    </row>
    <row r="109" spans="2:80" x14ac:dyDescent="0.25">
      <c r="B109" s="30"/>
      <c r="C109" s="30"/>
      <c r="D109" s="30"/>
      <c r="E109" s="27" t="s">
        <v>923</v>
      </c>
      <c r="J109" t="s">
        <v>629</v>
      </c>
      <c r="K109" s="21"/>
      <c r="L109" s="16"/>
      <c r="M109" s="16"/>
      <c r="N109" s="21"/>
      <c r="O109" s="16"/>
      <c r="P109" s="16" t="s">
        <v>296</v>
      </c>
      <c r="Q109" s="16"/>
      <c r="R109">
        <v>119</v>
      </c>
      <c r="S109" t="s">
        <v>924</v>
      </c>
      <c r="T109" t="s">
        <v>19</v>
      </c>
      <c r="V109" t="s">
        <v>285</v>
      </c>
      <c r="W109" s="16" t="s">
        <v>925</v>
      </c>
      <c r="X109" t="s">
        <v>629</v>
      </c>
      <c r="Y109" s="27" t="s">
        <v>629</v>
      </c>
      <c r="AD109" s="3" t="s">
        <v>926</v>
      </c>
      <c r="AE109" s="3" t="s">
        <v>926</v>
      </c>
      <c r="AH109" t="s">
        <v>927</v>
      </c>
      <c r="AI109" t="s">
        <v>927</v>
      </c>
      <c r="AQ109" t="s">
        <v>928</v>
      </c>
      <c r="BE109" t="s">
        <v>661</v>
      </c>
      <c r="BF109" t="s">
        <v>484</v>
      </c>
      <c r="BM109" t="s">
        <v>203</v>
      </c>
      <c r="BQ109" t="s">
        <v>629</v>
      </c>
      <c r="BS109" t="s">
        <v>629</v>
      </c>
      <c r="BT109" t="s">
        <v>629</v>
      </c>
      <c r="BU109" t="s">
        <v>629</v>
      </c>
      <c r="CB109">
        <v>108</v>
      </c>
    </row>
    <row r="110" spans="2:80" x14ac:dyDescent="0.25">
      <c r="B110" s="30"/>
      <c r="C110" s="30"/>
      <c r="D110" s="30"/>
      <c r="E110" s="27" t="s">
        <v>929</v>
      </c>
      <c r="J110" t="s">
        <v>630</v>
      </c>
      <c r="K110" s="21"/>
      <c r="L110" s="16"/>
      <c r="M110" s="16"/>
      <c r="N110" s="21"/>
      <c r="O110" s="16"/>
      <c r="P110" s="16" t="s">
        <v>296</v>
      </c>
      <c r="Q110" s="16"/>
      <c r="R110">
        <v>120</v>
      </c>
      <c r="S110" t="s">
        <v>930</v>
      </c>
      <c r="T110" t="s">
        <v>924</v>
      </c>
      <c r="V110" t="s">
        <v>285</v>
      </c>
      <c r="W110" s="16" t="s">
        <v>931</v>
      </c>
      <c r="X110" t="s">
        <v>630</v>
      </c>
      <c r="Y110" s="27" t="s">
        <v>630</v>
      </c>
      <c r="AD110" s="3" t="s">
        <v>862</v>
      </c>
      <c r="AE110" s="3" t="s">
        <v>862</v>
      </c>
      <c r="AH110" t="s">
        <v>932</v>
      </c>
      <c r="AI110" t="s">
        <v>932</v>
      </c>
      <c r="AQ110" t="s">
        <v>933</v>
      </c>
      <c r="AS110" t="s">
        <v>933</v>
      </c>
      <c r="AT110" t="s">
        <v>934</v>
      </c>
      <c r="AV110" t="s">
        <v>935</v>
      </c>
      <c r="BF110" t="s">
        <v>256</v>
      </c>
      <c r="BH110" t="s">
        <v>604</v>
      </c>
      <c r="BM110" t="s">
        <v>187</v>
      </c>
      <c r="BQ110" t="s">
        <v>630</v>
      </c>
      <c r="BS110" t="s">
        <v>630</v>
      </c>
      <c r="BT110" t="s">
        <v>630</v>
      </c>
      <c r="BU110" t="s">
        <v>630</v>
      </c>
      <c r="CB110">
        <v>109</v>
      </c>
    </row>
    <row r="111" spans="2:80" x14ac:dyDescent="0.25">
      <c r="B111" s="30"/>
      <c r="C111" s="30"/>
      <c r="D111" s="30"/>
      <c r="E111" s="27" t="s">
        <v>936</v>
      </c>
      <c r="J111" t="s">
        <v>937</v>
      </c>
      <c r="K111" s="21"/>
      <c r="L111" s="16"/>
      <c r="M111" s="16"/>
      <c r="N111" s="21"/>
      <c r="O111" s="16"/>
      <c r="P111" s="16" t="s">
        <v>296</v>
      </c>
      <c r="Q111" s="16"/>
      <c r="R111">
        <v>121</v>
      </c>
      <c r="S111" t="s">
        <v>18</v>
      </c>
      <c r="T111" t="s">
        <v>938</v>
      </c>
      <c r="V111" t="s">
        <v>285</v>
      </c>
      <c r="W111" s="16" t="s">
        <v>939</v>
      </c>
      <c r="X111" t="s">
        <v>937</v>
      </c>
      <c r="Y111" s="27" t="s">
        <v>937</v>
      </c>
      <c r="AD111" s="3" t="s">
        <v>853</v>
      </c>
      <c r="AE111" s="3" t="s">
        <v>853</v>
      </c>
      <c r="AH111" t="s">
        <v>847</v>
      </c>
      <c r="AI111" t="s">
        <v>847</v>
      </c>
      <c r="AP111" t="s">
        <v>940</v>
      </c>
      <c r="AQ111" t="s">
        <v>940</v>
      </c>
      <c r="AR111" t="s">
        <v>940</v>
      </c>
      <c r="AS111" t="s">
        <v>940</v>
      </c>
      <c r="AT111" t="s">
        <v>940</v>
      </c>
      <c r="AU111" t="s">
        <v>940</v>
      </c>
      <c r="AV111" t="s">
        <v>941</v>
      </c>
      <c r="AW111" t="s">
        <v>942</v>
      </c>
      <c r="BF111" t="s">
        <v>243</v>
      </c>
      <c r="BH111" t="s">
        <v>943</v>
      </c>
      <c r="BM111" t="s">
        <v>465</v>
      </c>
      <c r="BQ111" t="s">
        <v>937</v>
      </c>
      <c r="BS111" t="s">
        <v>937</v>
      </c>
      <c r="BT111" t="s">
        <v>937</v>
      </c>
      <c r="BU111" t="s">
        <v>937</v>
      </c>
      <c r="CB111">
        <v>115</v>
      </c>
    </row>
    <row r="112" spans="2:80" x14ac:dyDescent="0.25">
      <c r="B112">
        <v>51</v>
      </c>
      <c r="C112" s="20"/>
      <c r="J112" s="16"/>
      <c r="K112" s="21"/>
      <c r="L112" s="16"/>
      <c r="M112" s="16"/>
      <c r="N112" s="21"/>
      <c r="O112" s="16"/>
      <c r="P112" s="16"/>
      <c r="Q112" s="16"/>
      <c r="R112" s="1">
        <v>172</v>
      </c>
      <c r="S112" s="1" t="s">
        <v>944</v>
      </c>
      <c r="T112" s="1" t="s">
        <v>945</v>
      </c>
      <c r="V112" t="s">
        <v>285</v>
      </c>
      <c r="W112" s="16" t="s">
        <v>946</v>
      </c>
      <c r="AH112" t="s">
        <v>263</v>
      </c>
      <c r="AI112" t="s">
        <v>263</v>
      </c>
      <c r="AM112" s="4" t="s">
        <v>264</v>
      </c>
      <c r="AO112" t="s">
        <v>461</v>
      </c>
      <c r="AQ112" t="s">
        <v>947</v>
      </c>
      <c r="AS112" t="s">
        <v>947</v>
      </c>
      <c r="AT112" t="s">
        <v>252</v>
      </c>
      <c r="AV112" t="s">
        <v>948</v>
      </c>
      <c r="AX112" t="s">
        <v>711</v>
      </c>
      <c r="BF112" t="s">
        <v>484</v>
      </c>
      <c r="BM112" t="s">
        <v>153</v>
      </c>
      <c r="CA112">
        <v>1</v>
      </c>
      <c r="CB112">
        <v>214</v>
      </c>
    </row>
    <row r="113" spans="2:80" x14ac:dyDescent="0.25">
      <c r="B113">
        <v>49</v>
      </c>
      <c r="C113" s="20"/>
      <c r="J113" s="16"/>
      <c r="K113" s="21"/>
      <c r="L113" s="16"/>
      <c r="M113" s="16"/>
      <c r="N113" s="21"/>
      <c r="O113" s="16"/>
      <c r="P113" s="16"/>
      <c r="Q113" s="16"/>
      <c r="R113">
        <v>170</v>
      </c>
      <c r="S113" t="s">
        <v>949</v>
      </c>
      <c r="T113" t="s">
        <v>949</v>
      </c>
      <c r="V113" t="s">
        <v>285</v>
      </c>
      <c r="W113" s="16" t="s">
        <v>950</v>
      </c>
      <c r="AH113" t="s">
        <v>276</v>
      </c>
      <c r="AI113" t="s">
        <v>276</v>
      </c>
      <c r="AJ113" t="s">
        <v>276</v>
      </c>
      <c r="AK113" t="s">
        <v>276</v>
      </c>
      <c r="AO113" t="s">
        <v>472</v>
      </c>
      <c r="AQ113" t="s">
        <v>951</v>
      </c>
      <c r="AX113" t="s">
        <v>723</v>
      </c>
      <c r="BF113" t="s">
        <v>491</v>
      </c>
      <c r="BM113" t="s">
        <v>144</v>
      </c>
      <c r="CA113">
        <v>1</v>
      </c>
      <c r="CB113">
        <v>170</v>
      </c>
    </row>
    <row r="114" spans="2:80" x14ac:dyDescent="0.25">
      <c r="C114" s="20">
        <v>16</v>
      </c>
      <c r="J114" s="16"/>
      <c r="K114" s="21"/>
      <c r="L114" s="16"/>
      <c r="M114" s="16"/>
      <c r="N114" s="21"/>
      <c r="O114" s="16"/>
      <c r="P114" s="16"/>
      <c r="Q114" s="16"/>
      <c r="R114"/>
      <c r="S114"/>
      <c r="T114" t="s">
        <v>944</v>
      </c>
      <c r="V114" t="s">
        <v>285</v>
      </c>
      <c r="W114" s="16" t="s">
        <v>952</v>
      </c>
      <c r="AB114" s="5" t="s">
        <v>953</v>
      </c>
      <c r="AC114" s="5" t="s">
        <v>953</v>
      </c>
      <c r="AD114" s="3" t="s">
        <v>954</v>
      </c>
      <c r="AE114" s="3" t="s">
        <v>954</v>
      </c>
      <c r="AH114" t="s">
        <v>955</v>
      </c>
      <c r="AI114" t="s">
        <v>955</v>
      </c>
      <c r="AJ114" t="s">
        <v>955</v>
      </c>
      <c r="AK114" t="s">
        <v>955</v>
      </c>
      <c r="AR114" t="s">
        <v>956</v>
      </c>
      <c r="AS114" t="s">
        <v>956</v>
      </c>
      <c r="AT114" t="s">
        <v>252</v>
      </c>
      <c r="AV114" t="s">
        <v>956</v>
      </c>
      <c r="BF114" t="s">
        <v>957</v>
      </c>
      <c r="BJ114" t="s">
        <v>958</v>
      </c>
      <c r="BK114" t="s">
        <v>162</v>
      </c>
      <c r="BM114" t="s">
        <v>280</v>
      </c>
      <c r="CB114">
        <v>184</v>
      </c>
    </row>
    <row r="115" spans="2:80" x14ac:dyDescent="0.25">
      <c r="B115">
        <v>43</v>
      </c>
      <c r="C115" s="20"/>
      <c r="E115" t="s">
        <v>959</v>
      </c>
      <c r="J115" s="16"/>
      <c r="K115" s="21"/>
      <c r="L115" s="21"/>
      <c r="M115" s="21"/>
      <c r="N115" s="21"/>
      <c r="O115" s="21"/>
      <c r="P115" s="21"/>
      <c r="Q115" s="16"/>
      <c r="R115"/>
      <c r="S115"/>
      <c r="T115" t="s">
        <v>960</v>
      </c>
      <c r="V115" t="s">
        <v>285</v>
      </c>
      <c r="W115" s="16" t="s">
        <v>961</v>
      </c>
      <c r="AB115" s="5" t="s">
        <v>962</v>
      </c>
      <c r="AC115" s="5" t="s">
        <v>962</v>
      </c>
      <c r="AH115" t="s">
        <v>927</v>
      </c>
      <c r="AI115" t="s">
        <v>927</v>
      </c>
      <c r="AR115" t="s">
        <v>963</v>
      </c>
      <c r="AS115" t="s">
        <v>963</v>
      </c>
      <c r="AT115" t="s">
        <v>385</v>
      </c>
      <c r="AV115" t="s">
        <v>963</v>
      </c>
      <c r="AX115" t="s">
        <v>780</v>
      </c>
      <c r="BF115" t="s">
        <v>957</v>
      </c>
      <c r="BM115" t="s">
        <v>170</v>
      </c>
      <c r="CB115">
        <v>185</v>
      </c>
    </row>
    <row r="116" spans="2:80" x14ac:dyDescent="0.25">
      <c r="B116">
        <v>45</v>
      </c>
      <c r="C116" s="20"/>
      <c r="E116" t="s">
        <v>964</v>
      </c>
      <c r="J116" s="16"/>
      <c r="K116" s="21"/>
      <c r="L116" s="21"/>
      <c r="M116" s="21"/>
      <c r="N116" s="21"/>
      <c r="O116" s="21"/>
      <c r="P116" s="21"/>
      <c r="Q116" s="16"/>
      <c r="R116"/>
      <c r="S116"/>
      <c r="T116" t="s">
        <v>965</v>
      </c>
      <c r="V116" t="s">
        <v>285</v>
      </c>
      <c r="W116" s="16" t="s">
        <v>966</v>
      </c>
      <c r="AB116" s="5" t="s">
        <v>967</v>
      </c>
      <c r="AC116" s="5" t="s">
        <v>967</v>
      </c>
      <c r="AH116" t="s">
        <v>918</v>
      </c>
      <c r="AI116" t="s">
        <v>918</v>
      </c>
      <c r="AQ116" t="s">
        <v>968</v>
      </c>
      <c r="AS116" t="s">
        <v>968</v>
      </c>
      <c r="AT116" t="s">
        <v>385</v>
      </c>
      <c r="AV116" t="s">
        <v>969</v>
      </c>
      <c r="AX116" t="s">
        <v>970</v>
      </c>
      <c r="BF116" t="s">
        <v>971</v>
      </c>
      <c r="BM116" t="s">
        <v>972</v>
      </c>
      <c r="CB116">
        <v>172</v>
      </c>
    </row>
    <row r="117" spans="2:80" x14ac:dyDescent="0.25">
      <c r="C117" s="20">
        <v>62</v>
      </c>
      <c r="J117" s="16"/>
      <c r="K117" s="21"/>
      <c r="L117" s="21"/>
      <c r="M117" s="21"/>
      <c r="N117" s="21"/>
      <c r="O117" s="21"/>
      <c r="P117" s="21"/>
      <c r="Q117" s="16"/>
      <c r="R117">
        <v>132</v>
      </c>
      <c r="S117" t="s">
        <v>973</v>
      </c>
      <c r="T117" t="s">
        <v>681</v>
      </c>
      <c r="V117" t="s">
        <v>176</v>
      </c>
      <c r="W117" s="16" t="s">
        <v>974</v>
      </c>
      <c r="AH117" t="s">
        <v>742</v>
      </c>
      <c r="AI117" t="s">
        <v>742</v>
      </c>
      <c r="BA117" t="s">
        <v>975</v>
      </c>
      <c r="BF117" t="s">
        <v>726</v>
      </c>
      <c r="BH117" t="s">
        <v>976</v>
      </c>
      <c r="BM117" t="s">
        <v>770</v>
      </c>
      <c r="BO117" t="s">
        <v>418</v>
      </c>
      <c r="CA117">
        <v>1</v>
      </c>
      <c r="CB117">
        <v>160</v>
      </c>
    </row>
    <row r="118" spans="2:80" x14ac:dyDescent="0.25">
      <c r="C118" s="20">
        <v>60</v>
      </c>
      <c r="J118" s="16"/>
      <c r="K118" s="21"/>
      <c r="L118" s="21"/>
      <c r="M118" s="21"/>
      <c r="N118" s="21"/>
      <c r="O118" s="21"/>
      <c r="P118" s="21"/>
      <c r="Q118" s="16"/>
      <c r="R118">
        <v>131</v>
      </c>
      <c r="S118" t="s">
        <v>977</v>
      </c>
      <c r="T118" t="s">
        <v>978</v>
      </c>
      <c r="V118" t="s">
        <v>176</v>
      </c>
      <c r="W118" s="16" t="s">
        <v>979</v>
      </c>
      <c r="AR118" t="s">
        <v>980</v>
      </c>
      <c r="AS118" t="s">
        <v>980</v>
      </c>
      <c r="AT118" t="s">
        <v>344</v>
      </c>
      <c r="AV118" t="s">
        <v>980</v>
      </c>
      <c r="BA118" t="s">
        <v>981</v>
      </c>
      <c r="BF118" t="s">
        <v>715</v>
      </c>
      <c r="BH118" t="s">
        <v>943</v>
      </c>
      <c r="BI118" t="s">
        <v>792</v>
      </c>
      <c r="BM118" t="s">
        <v>111</v>
      </c>
      <c r="CA118">
        <v>1</v>
      </c>
      <c r="CB118">
        <v>161</v>
      </c>
    </row>
    <row r="119" spans="2:80" x14ac:dyDescent="0.25">
      <c r="C119" s="38">
        <v>64</v>
      </c>
      <c r="E119" s="38"/>
      <c r="J119" s="16"/>
      <c r="K119" s="21"/>
      <c r="L119" s="16"/>
      <c r="M119" s="16"/>
      <c r="N119" s="21"/>
      <c r="O119" s="16"/>
      <c r="P119" s="16"/>
      <c r="Q119" s="16"/>
      <c r="R119"/>
      <c r="S119" t="s">
        <v>982</v>
      </c>
      <c r="T119" t="s">
        <v>394</v>
      </c>
      <c r="V119" t="s">
        <v>176</v>
      </c>
      <c r="W119" s="16" t="s">
        <v>983</v>
      </c>
      <c r="AP119" t="s">
        <v>984</v>
      </c>
      <c r="AQ119" t="s">
        <v>984</v>
      </c>
      <c r="AR119" t="s">
        <v>984</v>
      </c>
      <c r="AS119" t="s">
        <v>984</v>
      </c>
      <c r="AT119" t="s">
        <v>984</v>
      </c>
      <c r="AU119" t="s">
        <v>984</v>
      </c>
      <c r="AV119" t="s">
        <v>985</v>
      </c>
      <c r="AW119" t="s">
        <v>804</v>
      </c>
      <c r="BA119" s="25" t="s">
        <v>986</v>
      </c>
      <c r="BF119" t="s">
        <v>570</v>
      </c>
      <c r="BH119" t="s">
        <v>510</v>
      </c>
      <c r="BM119" t="s">
        <v>130</v>
      </c>
      <c r="CA119">
        <v>1</v>
      </c>
      <c r="CB119">
        <v>159</v>
      </c>
    </row>
    <row r="120" spans="2:80" x14ac:dyDescent="0.25">
      <c r="C120" s="38">
        <v>66</v>
      </c>
      <c r="E120" s="38"/>
      <c r="J120" s="16"/>
      <c r="K120" s="21"/>
      <c r="L120" s="16"/>
      <c r="M120" s="16"/>
      <c r="N120" s="21"/>
      <c r="O120" s="16"/>
      <c r="P120" s="16"/>
      <c r="Q120" s="16"/>
      <c r="R120"/>
      <c r="S120" t="s">
        <v>987</v>
      </c>
      <c r="T120" t="s">
        <v>421</v>
      </c>
      <c r="V120" t="s">
        <v>176</v>
      </c>
      <c r="W120" s="16" t="s">
        <v>988</v>
      </c>
      <c r="AP120" t="s">
        <v>989</v>
      </c>
      <c r="AQ120" t="s">
        <v>989</v>
      </c>
      <c r="AR120" t="s">
        <v>989</v>
      </c>
      <c r="AS120" t="s">
        <v>989</v>
      </c>
      <c r="AT120" t="s">
        <v>989</v>
      </c>
      <c r="AU120" t="s">
        <v>989</v>
      </c>
      <c r="AV120" t="s">
        <v>990</v>
      </c>
      <c r="AW120" t="s">
        <v>791</v>
      </c>
      <c r="BA120" s="25" t="s">
        <v>991</v>
      </c>
      <c r="BF120" t="s">
        <v>579</v>
      </c>
      <c r="BH120" t="s">
        <v>992</v>
      </c>
      <c r="BM120" t="s">
        <v>164</v>
      </c>
      <c r="CA120">
        <v>1</v>
      </c>
      <c r="CB120">
        <v>158</v>
      </c>
    </row>
    <row r="121" spans="2:80" x14ac:dyDescent="0.25">
      <c r="B121" s="38">
        <v>1</v>
      </c>
      <c r="C121" s="20"/>
      <c r="E121" s="38"/>
      <c r="J121" s="16"/>
      <c r="K121" s="21"/>
      <c r="L121" s="16"/>
      <c r="M121" s="16"/>
      <c r="N121" s="21"/>
      <c r="O121" s="16"/>
      <c r="P121" s="16"/>
      <c r="Q121" s="16"/>
      <c r="R121"/>
      <c r="S121" t="s">
        <v>993</v>
      </c>
      <c r="T121" t="s">
        <v>701</v>
      </c>
      <c r="V121" t="s">
        <v>176</v>
      </c>
      <c r="W121" s="16" t="s">
        <v>994</v>
      </c>
      <c r="AQ121" t="s">
        <v>995</v>
      </c>
      <c r="AS121" t="s">
        <v>995</v>
      </c>
      <c r="AT121" t="s">
        <v>344</v>
      </c>
      <c r="AV121" t="s">
        <v>996</v>
      </c>
      <c r="BA121" s="25" t="s">
        <v>997</v>
      </c>
      <c r="BF121" t="s">
        <v>185</v>
      </c>
      <c r="BM121" t="s">
        <v>417</v>
      </c>
      <c r="CA121">
        <v>1</v>
      </c>
      <c r="CB121">
        <v>142</v>
      </c>
    </row>
    <row r="122" spans="2:80" x14ac:dyDescent="0.25">
      <c r="C122" s="38">
        <v>68</v>
      </c>
      <c r="E122" s="38"/>
      <c r="J122" s="16"/>
      <c r="K122" s="21"/>
      <c r="L122" s="16"/>
      <c r="M122" s="16"/>
      <c r="N122" s="21"/>
      <c r="O122" s="16"/>
      <c r="P122" s="16"/>
      <c r="Q122" s="16"/>
      <c r="R122"/>
      <c r="S122"/>
      <c r="T122" t="s">
        <v>998</v>
      </c>
      <c r="V122" t="s">
        <v>176</v>
      </c>
      <c r="W122" s="16" t="s">
        <v>999</v>
      </c>
      <c r="AQ122" t="s">
        <v>1000</v>
      </c>
      <c r="BA122" s="25" t="s">
        <v>1001</v>
      </c>
      <c r="BF122" t="s">
        <v>201</v>
      </c>
      <c r="BM122" t="s">
        <v>455</v>
      </c>
      <c r="CA122">
        <v>1</v>
      </c>
      <c r="CB122">
        <v>141</v>
      </c>
    </row>
    <row r="123" spans="2:80" x14ac:dyDescent="0.25">
      <c r="B123" s="38">
        <v>2</v>
      </c>
      <c r="C123" s="20"/>
      <c r="E123" s="38" t="s">
        <v>1002</v>
      </c>
      <c r="J123" s="16" t="s">
        <v>1003</v>
      </c>
      <c r="K123" s="21"/>
      <c r="L123" s="16" t="s">
        <v>150</v>
      </c>
      <c r="M123" s="16"/>
      <c r="N123" s="21" t="s">
        <v>8</v>
      </c>
      <c r="O123" s="16"/>
      <c r="P123" s="16" t="s">
        <v>273</v>
      </c>
      <c r="Q123" s="16"/>
      <c r="R123"/>
      <c r="S123"/>
      <c r="T123" t="s">
        <v>1004</v>
      </c>
      <c r="V123" t="s">
        <v>176</v>
      </c>
      <c r="W123" s="28" t="s">
        <v>1003</v>
      </c>
      <c r="BA123" s="25" t="s">
        <v>1005</v>
      </c>
      <c r="BM123" t="s">
        <v>282</v>
      </c>
      <c r="BU123" t="s">
        <v>1006</v>
      </c>
      <c r="CB123">
        <v>143</v>
      </c>
    </row>
    <row r="124" spans="2:80" x14ac:dyDescent="0.25">
      <c r="B124" s="30"/>
      <c r="C124" s="30"/>
      <c r="D124" s="30"/>
      <c r="E124" s="27" t="s">
        <v>1007</v>
      </c>
      <c r="J124" s="16" t="s">
        <v>1008</v>
      </c>
      <c r="K124" s="21"/>
      <c r="L124" s="16"/>
      <c r="M124" s="16"/>
      <c r="N124" s="21"/>
      <c r="O124" s="16"/>
      <c r="P124" s="16" t="s">
        <v>296</v>
      </c>
      <c r="Q124" s="16"/>
      <c r="R124"/>
      <c r="S124"/>
      <c r="T124" t="s">
        <v>982</v>
      </c>
      <c r="V124" t="s">
        <v>176</v>
      </c>
      <c r="W124" s="16" t="s">
        <v>1009</v>
      </c>
      <c r="Y124" s="27" t="s">
        <v>1010</v>
      </c>
      <c r="BA124" s="25" t="s">
        <v>1011</v>
      </c>
      <c r="BM124" t="s">
        <v>293</v>
      </c>
      <c r="BU124" t="s">
        <v>1008</v>
      </c>
      <c r="CB124">
        <v>131</v>
      </c>
    </row>
    <row r="125" spans="2:80" x14ac:dyDescent="0.25">
      <c r="B125" s="30"/>
      <c r="C125" s="30"/>
      <c r="D125" s="30"/>
      <c r="E125" s="27" t="s">
        <v>1012</v>
      </c>
      <c r="J125" t="s">
        <v>1013</v>
      </c>
      <c r="K125" s="21"/>
      <c r="L125" s="16"/>
      <c r="M125" s="16"/>
      <c r="N125" s="21"/>
      <c r="O125" s="16"/>
      <c r="P125" s="16" t="s">
        <v>296</v>
      </c>
      <c r="Q125" s="16"/>
      <c r="R125">
        <v>122</v>
      </c>
      <c r="S125" t="s">
        <v>1014</v>
      </c>
      <c r="T125" t="s">
        <v>1014</v>
      </c>
      <c r="V125" t="s">
        <v>285</v>
      </c>
      <c r="W125" s="16" t="s">
        <v>1015</v>
      </c>
      <c r="X125" t="s">
        <v>1013</v>
      </c>
      <c r="Y125" s="27" t="s">
        <v>1013</v>
      </c>
      <c r="AD125" s="3" t="s">
        <v>954</v>
      </c>
      <c r="AE125" s="3" t="s">
        <v>954</v>
      </c>
      <c r="AP125" t="s">
        <v>1016</v>
      </c>
      <c r="AQ125" t="s">
        <v>1016</v>
      </c>
      <c r="AR125" t="s">
        <v>1016</v>
      </c>
      <c r="AS125" t="s">
        <v>1016</v>
      </c>
      <c r="AT125" t="s">
        <v>1016</v>
      </c>
      <c r="AU125" t="s">
        <v>1016</v>
      </c>
      <c r="AV125" t="s">
        <v>941</v>
      </c>
      <c r="AW125" t="s">
        <v>1017</v>
      </c>
      <c r="BE125" t="s">
        <v>231</v>
      </c>
      <c r="BF125" t="s">
        <v>1018</v>
      </c>
      <c r="BM125" t="s">
        <v>793</v>
      </c>
      <c r="BO125" t="s">
        <v>418</v>
      </c>
      <c r="BQ125" t="s">
        <v>1013</v>
      </c>
      <c r="BS125" t="s">
        <v>1013</v>
      </c>
      <c r="BT125" t="s">
        <v>1013</v>
      </c>
      <c r="BU125" t="s">
        <v>1013</v>
      </c>
      <c r="CA125">
        <v>-1</v>
      </c>
      <c r="CB125">
        <v>114</v>
      </c>
    </row>
    <row r="126" spans="2:80" x14ac:dyDescent="0.25">
      <c r="B126" s="30"/>
      <c r="C126" s="30"/>
      <c r="D126" s="30"/>
      <c r="E126" s="27" t="s">
        <v>1019</v>
      </c>
      <c r="J126" t="s">
        <v>1020</v>
      </c>
      <c r="K126" s="21"/>
      <c r="L126" s="16"/>
      <c r="M126" s="16"/>
      <c r="N126" s="21"/>
      <c r="O126" s="16"/>
      <c r="P126" s="16" t="s">
        <v>296</v>
      </c>
      <c r="Q126" s="16"/>
      <c r="R126">
        <v>87</v>
      </c>
      <c r="S126" t="s">
        <v>540</v>
      </c>
      <c r="T126" t="s">
        <v>1021</v>
      </c>
      <c r="V126" t="s">
        <v>285</v>
      </c>
      <c r="W126" s="16" t="s">
        <v>1022</v>
      </c>
      <c r="X126" t="s">
        <v>1023</v>
      </c>
      <c r="Y126" s="27" t="s">
        <v>1023</v>
      </c>
      <c r="AB126" s="5" t="s">
        <v>1024</v>
      </c>
      <c r="AC126" s="5" t="s">
        <v>1024</v>
      </c>
      <c r="AO126" t="s">
        <v>472</v>
      </c>
      <c r="AP126" t="s">
        <v>1025</v>
      </c>
      <c r="AQ126" t="s">
        <v>1025</v>
      </c>
      <c r="AR126" t="s">
        <v>1025</v>
      </c>
      <c r="AS126" t="s">
        <v>1025</v>
      </c>
      <c r="AT126" t="s">
        <v>1025</v>
      </c>
      <c r="AU126" t="s">
        <v>1025</v>
      </c>
      <c r="AV126" t="s">
        <v>1026</v>
      </c>
      <c r="AW126" t="s">
        <v>1027</v>
      </c>
      <c r="AZ126" t="s">
        <v>1028</v>
      </c>
      <c r="BE126" t="s">
        <v>446</v>
      </c>
      <c r="BF126" t="s">
        <v>389</v>
      </c>
      <c r="BH126" t="s">
        <v>1029</v>
      </c>
      <c r="BJ126" t="s">
        <v>233</v>
      </c>
      <c r="BM126" t="s">
        <v>111</v>
      </c>
      <c r="BQ126" t="s">
        <v>1030</v>
      </c>
      <c r="BR126" t="s">
        <v>1030</v>
      </c>
      <c r="BS126" t="s">
        <v>1020</v>
      </c>
      <c r="BT126" t="s">
        <v>1020</v>
      </c>
      <c r="BU126" t="s">
        <v>1020</v>
      </c>
      <c r="CB126">
        <v>1</v>
      </c>
    </row>
    <row r="127" spans="2:80" x14ac:dyDescent="0.25">
      <c r="B127" s="30"/>
      <c r="C127" s="30"/>
      <c r="D127" s="30"/>
      <c r="E127" s="27" t="s">
        <v>1031</v>
      </c>
      <c r="J127" t="s">
        <v>1032</v>
      </c>
      <c r="K127" s="21"/>
      <c r="L127" s="16"/>
      <c r="M127" s="16"/>
      <c r="N127" s="21"/>
      <c r="O127" s="16"/>
      <c r="P127" s="16" t="s">
        <v>296</v>
      </c>
      <c r="Q127" s="16"/>
      <c r="R127">
        <v>92</v>
      </c>
      <c r="S127" t="s">
        <v>1033</v>
      </c>
      <c r="T127" t="s">
        <v>1034</v>
      </c>
      <c r="V127" t="s">
        <v>285</v>
      </c>
      <c r="W127" s="16" t="s">
        <v>1035</v>
      </c>
      <c r="X127" t="s">
        <v>1036</v>
      </c>
      <c r="Y127" s="27" t="s">
        <v>1036</v>
      </c>
      <c r="AB127" s="5" t="s">
        <v>1037</v>
      </c>
      <c r="AC127" s="5" t="s">
        <v>1037</v>
      </c>
      <c r="AO127" t="s">
        <v>461</v>
      </c>
      <c r="AP127" t="s">
        <v>1038</v>
      </c>
      <c r="AQ127" t="s">
        <v>1038</v>
      </c>
      <c r="AR127" t="s">
        <v>1038</v>
      </c>
      <c r="AS127" t="s">
        <v>1038</v>
      </c>
      <c r="AT127" t="s">
        <v>1038</v>
      </c>
      <c r="AU127" t="s">
        <v>1038</v>
      </c>
      <c r="AV127" t="s">
        <v>1039</v>
      </c>
      <c r="AW127" t="s">
        <v>1040</v>
      </c>
      <c r="AZ127" t="s">
        <v>1041</v>
      </c>
      <c r="BE127" t="s">
        <v>490</v>
      </c>
      <c r="BF127" t="s">
        <v>432</v>
      </c>
      <c r="BH127" t="s">
        <v>1042</v>
      </c>
      <c r="BM127" t="s">
        <v>147</v>
      </c>
      <c r="BR127" t="s">
        <v>1043</v>
      </c>
      <c r="BS127" t="s">
        <v>1032</v>
      </c>
      <c r="BT127" t="s">
        <v>1032</v>
      </c>
      <c r="BU127" t="s">
        <v>1032</v>
      </c>
      <c r="CB127">
        <v>44</v>
      </c>
    </row>
    <row r="128" spans="2:80" x14ac:dyDescent="0.25">
      <c r="B128" s="30"/>
      <c r="C128" s="30"/>
      <c r="D128" s="30"/>
      <c r="E128" s="27" t="s">
        <v>1044</v>
      </c>
      <c r="J128" t="s">
        <v>1045</v>
      </c>
      <c r="K128" s="21"/>
      <c r="L128" s="16"/>
      <c r="M128" s="16"/>
      <c r="N128" s="21"/>
      <c r="O128" s="16"/>
      <c r="P128" s="16" t="s">
        <v>296</v>
      </c>
      <c r="Q128" s="16"/>
      <c r="R128">
        <v>93</v>
      </c>
      <c r="S128" t="s">
        <v>1046</v>
      </c>
      <c r="T128" t="s">
        <v>1047</v>
      </c>
      <c r="V128" t="s">
        <v>285</v>
      </c>
      <c r="W128" s="16" t="s">
        <v>1048</v>
      </c>
      <c r="X128" t="s">
        <v>1049</v>
      </c>
      <c r="Y128" s="27" t="s">
        <v>1049</v>
      </c>
      <c r="Z128" s="3" t="s">
        <v>784</v>
      </c>
      <c r="AB128" s="5" t="s">
        <v>1050</v>
      </c>
      <c r="AC128" s="5" t="s">
        <v>1050</v>
      </c>
      <c r="AR128" t="s">
        <v>1051</v>
      </c>
      <c r="AS128" t="s">
        <v>1051</v>
      </c>
      <c r="AT128" t="s">
        <v>344</v>
      </c>
      <c r="AV128" t="s">
        <v>1051</v>
      </c>
      <c r="AZ128" t="s">
        <v>359</v>
      </c>
      <c r="BE128" t="s">
        <v>483</v>
      </c>
      <c r="BF128" t="s">
        <v>415</v>
      </c>
      <c r="BM128" t="s">
        <v>218</v>
      </c>
      <c r="BO128" t="s">
        <v>1052</v>
      </c>
      <c r="BR128" t="s">
        <v>1053</v>
      </c>
      <c r="BS128" t="s">
        <v>1045</v>
      </c>
      <c r="BT128" t="s">
        <v>1045</v>
      </c>
      <c r="BU128" t="s">
        <v>1045</v>
      </c>
      <c r="CB128">
        <v>43</v>
      </c>
    </row>
    <row r="129" spans="2:80" x14ac:dyDescent="0.25">
      <c r="B129" s="30"/>
      <c r="C129" s="30"/>
      <c r="D129" s="30"/>
      <c r="E129" s="27" t="s">
        <v>1054</v>
      </c>
      <c r="J129" t="s">
        <v>1055</v>
      </c>
      <c r="K129" s="21"/>
      <c r="L129" s="16"/>
      <c r="M129" s="16"/>
      <c r="N129" s="21"/>
      <c r="O129" s="16"/>
      <c r="P129" s="16" t="s">
        <v>296</v>
      </c>
      <c r="Q129" s="16"/>
      <c r="R129">
        <v>94</v>
      </c>
      <c r="S129" t="s">
        <v>1056</v>
      </c>
      <c r="T129" t="s">
        <v>1057</v>
      </c>
      <c r="V129" t="s">
        <v>285</v>
      </c>
      <c r="W129" s="16" t="s">
        <v>1058</v>
      </c>
      <c r="X129" t="s">
        <v>1059</v>
      </c>
      <c r="Y129" s="27" t="s">
        <v>1059</v>
      </c>
      <c r="Z129" s="3" t="s">
        <v>811</v>
      </c>
      <c r="AB129" s="5" t="s">
        <v>1060</v>
      </c>
      <c r="AC129" s="5" t="s">
        <v>1060</v>
      </c>
      <c r="AQ129" t="s">
        <v>1061</v>
      </c>
      <c r="AS129" t="s">
        <v>1061</v>
      </c>
      <c r="AT129" t="s">
        <v>344</v>
      </c>
      <c r="AV129" t="s">
        <v>1062</v>
      </c>
      <c r="AZ129" t="s">
        <v>346</v>
      </c>
      <c r="BF129" t="s">
        <v>305</v>
      </c>
      <c r="BM129" t="s">
        <v>848</v>
      </c>
      <c r="BR129" t="s">
        <v>1063</v>
      </c>
      <c r="BS129" t="s">
        <v>1055</v>
      </c>
      <c r="BT129" t="s">
        <v>1055</v>
      </c>
      <c r="BU129" t="s">
        <v>1055</v>
      </c>
      <c r="CB129">
        <v>61</v>
      </c>
    </row>
    <row r="130" spans="2:80" x14ac:dyDescent="0.25">
      <c r="B130" s="30"/>
      <c r="C130" s="30"/>
      <c r="D130" s="30"/>
      <c r="E130" s="27" t="s">
        <v>1064</v>
      </c>
      <c r="J130" t="s">
        <v>1065</v>
      </c>
      <c r="K130" s="21"/>
      <c r="L130" s="16"/>
      <c r="M130" s="16"/>
      <c r="N130" s="21"/>
      <c r="O130" s="16"/>
      <c r="P130" s="16" t="s">
        <v>296</v>
      </c>
      <c r="Q130" s="16"/>
      <c r="R130">
        <v>95</v>
      </c>
      <c r="S130" t="s">
        <v>1047</v>
      </c>
      <c r="T130" t="s">
        <v>1046</v>
      </c>
      <c r="V130" t="s">
        <v>285</v>
      </c>
      <c r="W130" s="16" t="s">
        <v>1066</v>
      </c>
      <c r="X130" t="s">
        <v>1067</v>
      </c>
      <c r="Y130" s="27" t="s">
        <v>1067</v>
      </c>
      <c r="Z130" s="3" t="s">
        <v>822</v>
      </c>
      <c r="AB130" s="5" t="s">
        <v>1068</v>
      </c>
      <c r="AC130" s="5" t="s">
        <v>1068</v>
      </c>
      <c r="AQ130" t="s">
        <v>1069</v>
      </c>
      <c r="BD130" t="s">
        <v>184</v>
      </c>
      <c r="BF130" t="s">
        <v>299</v>
      </c>
      <c r="BG130" t="s">
        <v>433</v>
      </c>
      <c r="BM130" t="s">
        <v>306</v>
      </c>
      <c r="BR130" t="s">
        <v>1070</v>
      </c>
      <c r="BS130" t="s">
        <v>1065</v>
      </c>
      <c r="BT130" t="s">
        <v>1065</v>
      </c>
      <c r="BU130" t="s">
        <v>1065</v>
      </c>
      <c r="CB130">
        <v>26</v>
      </c>
    </row>
    <row r="131" spans="2:80" x14ac:dyDescent="0.25">
      <c r="B131" s="30"/>
      <c r="C131" s="30"/>
      <c r="D131" s="30"/>
      <c r="E131" s="27" t="s">
        <v>1071</v>
      </c>
      <c r="J131" s="16" t="s">
        <v>1072</v>
      </c>
      <c r="K131" s="21"/>
      <c r="L131" s="16"/>
      <c r="M131" s="16"/>
      <c r="N131" s="21"/>
      <c r="O131" s="16"/>
      <c r="P131" s="16" t="s">
        <v>296</v>
      </c>
      <c r="Q131" s="16"/>
      <c r="R131">
        <v>96</v>
      </c>
      <c r="S131" t="s">
        <v>1034</v>
      </c>
      <c r="T131" t="s">
        <v>1073</v>
      </c>
      <c r="V131" t="s">
        <v>285</v>
      </c>
      <c r="W131" s="16" t="s">
        <v>1074</v>
      </c>
      <c r="X131" t="s">
        <v>1072</v>
      </c>
      <c r="Y131" s="27" t="s">
        <v>1072</v>
      </c>
      <c r="Z131" s="3" t="s">
        <v>831</v>
      </c>
      <c r="AB131" s="5" t="s">
        <v>1075</v>
      </c>
      <c r="AC131" s="5" t="s">
        <v>1075</v>
      </c>
      <c r="AP131" t="s">
        <v>1076</v>
      </c>
      <c r="AQ131" t="s">
        <v>1076</v>
      </c>
      <c r="AR131" t="s">
        <v>1076</v>
      </c>
      <c r="AS131" t="s">
        <v>1076</v>
      </c>
      <c r="AT131" t="s">
        <v>1076</v>
      </c>
      <c r="AU131" t="s">
        <v>1076</v>
      </c>
      <c r="AV131" t="s">
        <v>1077</v>
      </c>
      <c r="AW131" t="s">
        <v>1078</v>
      </c>
      <c r="BD131" t="s">
        <v>200</v>
      </c>
      <c r="BF131" t="s">
        <v>625</v>
      </c>
      <c r="BG131" t="s">
        <v>216</v>
      </c>
      <c r="BM131" t="s">
        <v>300</v>
      </c>
      <c r="BQ131" t="s">
        <v>1079</v>
      </c>
      <c r="BR131" t="s">
        <v>1079</v>
      </c>
      <c r="BS131" t="s">
        <v>1079</v>
      </c>
      <c r="BT131" t="s">
        <v>1079</v>
      </c>
      <c r="BU131" t="s">
        <v>1079</v>
      </c>
      <c r="CB131">
        <v>60</v>
      </c>
    </row>
    <row r="132" spans="2:80" x14ac:dyDescent="0.25">
      <c r="B132" s="39">
        <v>7</v>
      </c>
      <c r="C132" s="20"/>
      <c r="E132" s="40" t="s">
        <v>1080</v>
      </c>
      <c r="J132" s="16" t="s">
        <v>1081</v>
      </c>
      <c r="K132" s="21"/>
      <c r="L132" s="16"/>
      <c r="M132" s="16"/>
      <c r="N132" s="21"/>
      <c r="O132" s="16"/>
      <c r="P132" s="16" t="s">
        <v>296</v>
      </c>
      <c r="Q132" s="16"/>
      <c r="R132">
        <v>97</v>
      </c>
      <c r="S132" t="s">
        <v>1082</v>
      </c>
      <c r="T132" t="s">
        <v>1083</v>
      </c>
      <c r="V132" t="s">
        <v>285</v>
      </c>
      <c r="W132" s="16" t="s">
        <v>1084</v>
      </c>
      <c r="Y132" s="27" t="s">
        <v>1081</v>
      </c>
      <c r="Z132" s="3" t="s">
        <v>840</v>
      </c>
      <c r="AB132" s="5" t="s">
        <v>1085</v>
      </c>
      <c r="AC132" s="5" t="s">
        <v>1085</v>
      </c>
      <c r="AP132" t="s">
        <v>1086</v>
      </c>
      <c r="AQ132" t="s">
        <v>1086</v>
      </c>
      <c r="AR132" t="s">
        <v>1086</v>
      </c>
      <c r="AS132" t="s">
        <v>1086</v>
      </c>
      <c r="AT132" t="s">
        <v>1086</v>
      </c>
      <c r="AU132" t="s">
        <v>1086</v>
      </c>
      <c r="AV132" t="s">
        <v>1087</v>
      </c>
      <c r="AW132" t="s">
        <v>1088</v>
      </c>
      <c r="BD132" t="s">
        <v>349</v>
      </c>
      <c r="BF132" t="s">
        <v>617</v>
      </c>
      <c r="BM132" t="s">
        <v>806</v>
      </c>
      <c r="BU132" t="s">
        <v>1089</v>
      </c>
      <c r="CB132">
        <v>59</v>
      </c>
    </row>
    <row r="133" spans="2:80" x14ac:dyDescent="0.25">
      <c r="C133" s="20"/>
      <c r="D133">
        <v>65</v>
      </c>
      <c r="J133" s="16"/>
      <c r="K133" s="21"/>
      <c r="L133" s="16"/>
      <c r="M133" s="16"/>
      <c r="N133" s="21"/>
      <c r="O133" s="16"/>
      <c r="P133" s="16"/>
      <c r="Q133" s="16"/>
      <c r="R133" s="1">
        <v>31</v>
      </c>
      <c r="S133" s="1" t="s">
        <v>1090</v>
      </c>
      <c r="T133" s="1" t="s">
        <v>1091</v>
      </c>
      <c r="V133" t="s">
        <v>285</v>
      </c>
      <c r="W133" s="16" t="s">
        <v>1092</v>
      </c>
      <c r="AD133" s="3" t="s">
        <v>898</v>
      </c>
      <c r="AE133" s="3" t="s">
        <v>898</v>
      </c>
      <c r="AH133" s="31" t="s">
        <v>1093</v>
      </c>
      <c r="AI133" t="s">
        <v>1093</v>
      </c>
      <c r="AK133" s="31" t="s">
        <v>1094</v>
      </c>
      <c r="AM133" s="31" t="s">
        <v>1095</v>
      </c>
      <c r="AN133" s="4" t="s">
        <v>207</v>
      </c>
      <c r="AP133" t="s">
        <v>1096</v>
      </c>
      <c r="AQ133" t="s">
        <v>1096</v>
      </c>
      <c r="AR133" t="s">
        <v>1096</v>
      </c>
      <c r="AS133" t="s">
        <v>1096</v>
      </c>
      <c r="AT133" t="s">
        <v>1096</v>
      </c>
      <c r="AU133" t="s">
        <v>1096</v>
      </c>
      <c r="AV133" t="s">
        <v>1097</v>
      </c>
      <c r="AW133" t="s">
        <v>970</v>
      </c>
      <c r="AZ133" t="s">
        <v>1098</v>
      </c>
      <c r="BB133" t="s">
        <v>413</v>
      </c>
      <c r="BC133" s="31" t="s">
        <v>1099</v>
      </c>
      <c r="BF133" t="s">
        <v>363</v>
      </c>
      <c r="BN133" t="s">
        <v>1100</v>
      </c>
      <c r="CA133">
        <v>1</v>
      </c>
      <c r="CB133">
        <v>80</v>
      </c>
    </row>
    <row r="134" spans="2:80" x14ac:dyDescent="0.25">
      <c r="C134" s="20"/>
      <c r="D134">
        <v>67</v>
      </c>
      <c r="J134" s="16"/>
      <c r="K134" s="21"/>
      <c r="L134" s="16"/>
      <c r="M134" s="16"/>
      <c r="N134" s="21"/>
      <c r="O134" s="16"/>
      <c r="P134" s="16"/>
      <c r="Q134" s="16"/>
      <c r="R134" s="1">
        <v>32</v>
      </c>
      <c r="S134" s="1" t="s">
        <v>1101</v>
      </c>
      <c r="T134" s="1" t="s">
        <v>1102</v>
      </c>
      <c r="V134" t="s">
        <v>285</v>
      </c>
      <c r="W134" s="16" t="s">
        <v>1103</v>
      </c>
      <c r="AD134" s="3" t="s">
        <v>1104</v>
      </c>
      <c r="AE134" s="3" t="s">
        <v>1104</v>
      </c>
      <c r="AH134" s="31" t="s">
        <v>1105</v>
      </c>
      <c r="AI134" t="s">
        <v>1105</v>
      </c>
      <c r="AJ134" s="31" t="s">
        <v>1106</v>
      </c>
      <c r="AK134" s="31" t="s">
        <v>1107</v>
      </c>
      <c r="AM134" s="31" t="s">
        <v>1108</v>
      </c>
      <c r="AN134" s="4" t="s">
        <v>195</v>
      </c>
      <c r="AQ134" t="s">
        <v>1109</v>
      </c>
      <c r="AS134" t="s">
        <v>1109</v>
      </c>
      <c r="AT134" t="s">
        <v>767</v>
      </c>
      <c r="AV134" t="s">
        <v>1110</v>
      </c>
      <c r="AZ134" t="s">
        <v>1111</v>
      </c>
      <c r="BB134" t="s">
        <v>1112</v>
      </c>
      <c r="BC134" s="31" t="s">
        <v>1113</v>
      </c>
      <c r="BF134" t="s">
        <v>389</v>
      </c>
      <c r="BH134" t="s">
        <v>580</v>
      </c>
      <c r="BN134" t="s">
        <v>1114</v>
      </c>
      <c r="CA134">
        <v>1</v>
      </c>
      <c r="CB134">
        <v>83</v>
      </c>
    </row>
    <row r="135" spans="2:80" x14ac:dyDescent="0.25">
      <c r="C135" s="20"/>
      <c r="D135">
        <v>69</v>
      </c>
      <c r="J135" s="16"/>
      <c r="K135" s="21"/>
      <c r="L135" s="16"/>
      <c r="M135" s="16"/>
      <c r="N135" s="21"/>
      <c r="O135" s="16"/>
      <c r="P135" s="16"/>
      <c r="Q135" s="16"/>
      <c r="R135" s="1">
        <v>33</v>
      </c>
      <c r="S135" s="1" t="s">
        <v>1115</v>
      </c>
      <c r="T135" s="1" t="s">
        <v>1116</v>
      </c>
      <c r="V135" t="s">
        <v>285</v>
      </c>
      <c r="W135" s="16" t="s">
        <v>1117</v>
      </c>
      <c r="AD135" s="3" t="s">
        <v>1118</v>
      </c>
      <c r="AE135" s="3" t="s">
        <v>1118</v>
      </c>
      <c r="AH135" s="31" t="s">
        <v>1119</v>
      </c>
      <c r="AI135" t="s">
        <v>1119</v>
      </c>
      <c r="AJ135" s="31" t="s">
        <v>1120</v>
      </c>
      <c r="AK135" s="31" t="s">
        <v>1121</v>
      </c>
      <c r="AM135" s="31" t="s">
        <v>1122</v>
      </c>
      <c r="AN135" s="4" t="s">
        <v>180</v>
      </c>
      <c r="AQ135" t="s">
        <v>1123</v>
      </c>
      <c r="AZ135" t="s">
        <v>1124</v>
      </c>
      <c r="BB135" t="s">
        <v>1125</v>
      </c>
      <c r="BC135" s="31" t="s">
        <v>1126</v>
      </c>
      <c r="BF135" t="s">
        <v>715</v>
      </c>
      <c r="BH135" t="s">
        <v>992</v>
      </c>
      <c r="BN135" t="s">
        <v>1127</v>
      </c>
      <c r="CA135">
        <v>1</v>
      </c>
      <c r="CB135">
        <v>81</v>
      </c>
    </row>
    <row r="136" spans="2:80" x14ac:dyDescent="0.25">
      <c r="C136" s="20"/>
      <c r="D136">
        <v>77</v>
      </c>
      <c r="J136" s="16"/>
      <c r="K136" s="21"/>
      <c r="L136" s="16"/>
      <c r="M136" s="16"/>
      <c r="N136" s="21"/>
      <c r="O136" s="16"/>
      <c r="P136" s="16"/>
      <c r="Q136" s="16"/>
      <c r="R136" s="1">
        <v>34</v>
      </c>
      <c r="S136" s="1" t="s">
        <v>1091</v>
      </c>
      <c r="T136" s="1" t="s">
        <v>1128</v>
      </c>
      <c r="V136" t="s">
        <v>285</v>
      </c>
      <c r="W136" s="16" t="s">
        <v>1129</v>
      </c>
      <c r="AD136" s="3" t="s">
        <v>668</v>
      </c>
      <c r="AE136" s="3" t="s">
        <v>668</v>
      </c>
      <c r="AF136" s="3" t="s">
        <v>1130</v>
      </c>
      <c r="AH136" s="31" t="s">
        <v>1131</v>
      </c>
      <c r="AI136" t="s">
        <v>1131</v>
      </c>
      <c r="AJ136" s="31" t="s">
        <v>1132</v>
      </c>
      <c r="AK136" s="31" t="s">
        <v>1133</v>
      </c>
      <c r="AM136" s="31" t="s">
        <v>1134</v>
      </c>
      <c r="AN136" s="4" t="s">
        <v>1135</v>
      </c>
      <c r="AZ136" t="s">
        <v>1136</v>
      </c>
      <c r="BB136" t="s">
        <v>1137</v>
      </c>
      <c r="BF136" t="s">
        <v>726</v>
      </c>
      <c r="BG136" t="s">
        <v>433</v>
      </c>
      <c r="BK136" t="s">
        <v>466</v>
      </c>
      <c r="BN136" t="s">
        <v>1138</v>
      </c>
      <c r="CA136">
        <v>1</v>
      </c>
      <c r="CB136">
        <v>93</v>
      </c>
    </row>
    <row r="137" spans="2:80" x14ac:dyDescent="0.25">
      <c r="C137" s="20"/>
      <c r="D137">
        <v>73</v>
      </c>
      <c r="J137" s="16"/>
      <c r="K137" s="21"/>
      <c r="L137" s="16"/>
      <c r="M137" s="16"/>
      <c r="N137" s="21"/>
      <c r="O137" s="16"/>
      <c r="P137" s="16"/>
      <c r="Q137" s="16"/>
      <c r="R137" s="1">
        <v>35</v>
      </c>
      <c r="S137" s="1" t="s">
        <v>1139</v>
      </c>
      <c r="T137" s="1" t="s">
        <v>1140</v>
      </c>
      <c r="V137" t="s">
        <v>285</v>
      </c>
      <c r="W137" s="16" t="s">
        <v>1141</v>
      </c>
      <c r="AE137" s="3" t="s">
        <v>656</v>
      </c>
      <c r="AF137" s="3" t="s">
        <v>1142</v>
      </c>
      <c r="AH137" s="31" t="s">
        <v>1143</v>
      </c>
      <c r="AI137" t="s">
        <v>1143</v>
      </c>
      <c r="AJ137" s="31" t="s">
        <v>1144</v>
      </c>
      <c r="AM137" s="31" t="s">
        <v>1145</v>
      </c>
      <c r="AN137" s="4" t="s">
        <v>1146</v>
      </c>
      <c r="AO137" t="s">
        <v>227</v>
      </c>
      <c r="AZ137" t="s">
        <v>1147</v>
      </c>
      <c r="BB137" t="s">
        <v>1148</v>
      </c>
      <c r="BE137" t="s">
        <v>675</v>
      </c>
      <c r="BF137" t="s">
        <v>447</v>
      </c>
      <c r="BG137" t="s">
        <v>216</v>
      </c>
      <c r="BM137" t="s">
        <v>417</v>
      </c>
      <c r="CA137">
        <v>1</v>
      </c>
      <c r="CB137">
        <v>92</v>
      </c>
    </row>
    <row r="138" spans="2:80" x14ac:dyDescent="0.25">
      <c r="C138" s="20"/>
      <c r="D138">
        <v>66</v>
      </c>
      <c r="J138" s="16"/>
      <c r="K138" s="21"/>
      <c r="L138" s="16"/>
      <c r="M138" s="16"/>
      <c r="N138" s="21"/>
      <c r="O138" s="16"/>
      <c r="P138" s="16"/>
      <c r="Q138" s="16"/>
      <c r="R138" s="1">
        <v>36</v>
      </c>
      <c r="S138" s="1" t="s">
        <v>1045</v>
      </c>
      <c r="T138" s="1" t="s">
        <v>1149</v>
      </c>
      <c r="V138" t="s">
        <v>285</v>
      </c>
      <c r="W138" s="16" t="s">
        <v>1150</v>
      </c>
      <c r="AE138" s="3" t="s">
        <v>643</v>
      </c>
      <c r="AF138" s="3" t="s">
        <v>1151</v>
      </c>
      <c r="AH138" s="31" t="s">
        <v>1152</v>
      </c>
      <c r="AI138" t="s">
        <v>1152</v>
      </c>
      <c r="AJ138" s="31" t="s">
        <v>1153</v>
      </c>
      <c r="AK138" s="31" t="s">
        <v>1154</v>
      </c>
      <c r="AM138" s="31" t="s">
        <v>1155</v>
      </c>
      <c r="AN138" s="4" t="s">
        <v>1156</v>
      </c>
      <c r="AO138" t="s">
        <v>208</v>
      </c>
      <c r="AQ138" t="s">
        <v>1157</v>
      </c>
      <c r="AZ138" t="s">
        <v>1158</v>
      </c>
      <c r="BE138" t="s">
        <v>661</v>
      </c>
      <c r="BF138" t="s">
        <v>903</v>
      </c>
      <c r="BG138" t="s">
        <v>186</v>
      </c>
      <c r="BM138" t="s">
        <v>306</v>
      </c>
      <c r="CA138">
        <v>1</v>
      </c>
      <c r="CB138">
        <v>85</v>
      </c>
    </row>
    <row r="139" spans="2:80" x14ac:dyDescent="0.25">
      <c r="C139" s="20"/>
      <c r="D139">
        <v>55</v>
      </c>
      <c r="J139" s="16"/>
      <c r="K139" s="21"/>
      <c r="L139" s="16"/>
      <c r="M139" s="16"/>
      <c r="N139" s="21"/>
      <c r="O139" s="16"/>
      <c r="P139" s="16"/>
      <c r="Q139" s="16"/>
      <c r="R139"/>
      <c r="S139" t="s">
        <v>1065</v>
      </c>
      <c r="T139" t="s">
        <v>1159</v>
      </c>
      <c r="V139" t="s">
        <v>285</v>
      </c>
      <c r="W139" s="16" t="s">
        <v>1160</v>
      </c>
      <c r="Z139" s="3" t="s">
        <v>1161</v>
      </c>
      <c r="AE139" s="3" t="s">
        <v>633</v>
      </c>
      <c r="AF139" s="3" t="s">
        <v>871</v>
      </c>
      <c r="AI139" t="s">
        <v>1162</v>
      </c>
      <c r="AK139" s="31" t="s">
        <v>1163</v>
      </c>
      <c r="AN139" s="4" t="s">
        <v>1164</v>
      </c>
      <c r="AP139" t="s">
        <v>1165</v>
      </c>
      <c r="AQ139" t="s">
        <v>1165</v>
      </c>
      <c r="AR139" t="s">
        <v>1165</v>
      </c>
      <c r="AS139" t="s">
        <v>1165</v>
      </c>
      <c r="AT139" t="s">
        <v>1165</v>
      </c>
      <c r="AU139" t="s">
        <v>1165</v>
      </c>
      <c r="AV139" t="s">
        <v>1166</v>
      </c>
      <c r="AW139" t="s">
        <v>428</v>
      </c>
      <c r="BF139" t="s">
        <v>909</v>
      </c>
      <c r="BG139" t="s">
        <v>186</v>
      </c>
      <c r="BM139" t="s">
        <v>806</v>
      </c>
      <c r="BO139" t="s">
        <v>627</v>
      </c>
      <c r="CA139">
        <v>1</v>
      </c>
      <c r="CB139">
        <v>74</v>
      </c>
    </row>
    <row r="140" spans="2:80" x14ac:dyDescent="0.25">
      <c r="C140" s="20"/>
      <c r="D140">
        <v>64</v>
      </c>
      <c r="J140" s="16"/>
      <c r="K140" s="21"/>
      <c r="L140" s="16"/>
      <c r="M140" s="16"/>
      <c r="N140" s="21"/>
      <c r="O140" s="16"/>
      <c r="P140" s="16"/>
      <c r="Q140" s="16"/>
      <c r="R140">
        <v>37</v>
      </c>
      <c r="S140" t="s">
        <v>1055</v>
      </c>
      <c r="T140" t="s">
        <v>1167</v>
      </c>
      <c r="V140" t="s">
        <v>285</v>
      </c>
      <c r="W140" s="16" t="s">
        <v>1168</v>
      </c>
      <c r="Z140" s="3" t="s">
        <v>1169</v>
      </c>
      <c r="AC140" s="5" t="s">
        <v>1170</v>
      </c>
      <c r="AE140" s="3" t="s">
        <v>621</v>
      </c>
      <c r="AF140" s="3" t="s">
        <v>880</v>
      </c>
      <c r="AH140" s="31" t="s">
        <v>1171</v>
      </c>
      <c r="AI140" t="s">
        <v>1171</v>
      </c>
      <c r="AN140" s="4" t="s">
        <v>1172</v>
      </c>
      <c r="AP140" t="s">
        <v>1173</v>
      </c>
      <c r="AQ140" t="s">
        <v>1173</v>
      </c>
      <c r="AR140" t="s">
        <v>1173</v>
      </c>
      <c r="AS140" t="s">
        <v>1173</v>
      </c>
      <c r="AT140" t="s">
        <v>1173</v>
      </c>
      <c r="AU140" t="s">
        <v>1173</v>
      </c>
      <c r="AV140" t="s">
        <v>1174</v>
      </c>
      <c r="AW140" t="s">
        <v>411</v>
      </c>
      <c r="BF140" t="s">
        <v>454</v>
      </c>
      <c r="BM140" t="s">
        <v>593</v>
      </c>
      <c r="BO140" t="s">
        <v>627</v>
      </c>
      <c r="CA140">
        <v>1</v>
      </c>
      <c r="CB140">
        <v>84</v>
      </c>
    </row>
    <row r="141" spans="2:80" x14ac:dyDescent="0.25">
      <c r="C141" s="20">
        <v>12</v>
      </c>
      <c r="J141" s="16"/>
      <c r="K141" s="21"/>
      <c r="L141" s="16"/>
      <c r="M141" s="16"/>
      <c r="N141" s="21"/>
      <c r="O141" s="16"/>
      <c r="P141" s="16"/>
      <c r="Q141" s="16"/>
      <c r="R141" s="1">
        <v>3</v>
      </c>
      <c r="S141" s="1" t="s">
        <v>1175</v>
      </c>
      <c r="T141" s="1" t="s">
        <v>1176</v>
      </c>
      <c r="V141" t="s">
        <v>285</v>
      </c>
      <c r="W141" s="16" t="s">
        <v>1177</v>
      </c>
      <c r="AD141" s="3" t="s">
        <v>926</v>
      </c>
      <c r="AE141" s="3" t="s">
        <v>926</v>
      </c>
      <c r="AH141" t="s">
        <v>1178</v>
      </c>
      <c r="AI141" t="s">
        <v>1178</v>
      </c>
      <c r="AJ141" t="s">
        <v>1178</v>
      </c>
      <c r="AK141" t="s">
        <v>1178</v>
      </c>
      <c r="AM141" s="16" t="s">
        <v>1179</v>
      </c>
      <c r="AR141" t="s">
        <v>1180</v>
      </c>
      <c r="AS141" t="s">
        <v>1180</v>
      </c>
      <c r="AT141" t="s">
        <v>385</v>
      </c>
      <c r="AV141" t="s">
        <v>1180</v>
      </c>
      <c r="AX141" t="s">
        <v>1181</v>
      </c>
      <c r="AZ141" t="s">
        <v>1182</v>
      </c>
      <c r="BC141" t="s">
        <v>714</v>
      </c>
      <c r="BF141" t="s">
        <v>662</v>
      </c>
      <c r="BM141" t="s">
        <v>1183</v>
      </c>
      <c r="BO141" t="s">
        <v>418</v>
      </c>
      <c r="BR141" t="s">
        <v>1184</v>
      </c>
      <c r="BT141" t="s">
        <v>1184</v>
      </c>
      <c r="BU141" t="s">
        <v>1184</v>
      </c>
      <c r="CA141">
        <v>1</v>
      </c>
      <c r="CB141">
        <v>152</v>
      </c>
    </row>
    <row r="142" spans="2:80" x14ac:dyDescent="0.25">
      <c r="C142" s="20">
        <v>14</v>
      </c>
      <c r="J142" s="16"/>
      <c r="K142" s="21"/>
      <c r="L142" s="16"/>
      <c r="M142" s="16"/>
      <c r="N142" s="21"/>
      <c r="O142" s="16"/>
      <c r="P142" s="16"/>
      <c r="Q142" s="16"/>
      <c r="R142" s="1">
        <v>2</v>
      </c>
      <c r="S142" s="1" t="s">
        <v>1185</v>
      </c>
      <c r="T142" s="1" t="s">
        <v>1186</v>
      </c>
      <c r="V142" t="s">
        <v>285</v>
      </c>
      <c r="W142" s="16" t="s">
        <v>1187</v>
      </c>
      <c r="AE142" s="3" t="s">
        <v>597</v>
      </c>
      <c r="AH142" t="s">
        <v>1188</v>
      </c>
      <c r="AI142" t="s">
        <v>1188</v>
      </c>
      <c r="AJ142" t="s">
        <v>1188</v>
      </c>
      <c r="AK142" t="s">
        <v>1188</v>
      </c>
      <c r="AM142" s="16" t="s">
        <v>1189</v>
      </c>
      <c r="AQ142" t="s">
        <v>1190</v>
      </c>
      <c r="AS142" t="s">
        <v>1190</v>
      </c>
      <c r="AT142" t="s">
        <v>385</v>
      </c>
      <c r="AV142" t="s">
        <v>1191</v>
      </c>
      <c r="AX142" t="s">
        <v>1192</v>
      </c>
      <c r="AZ142" t="s">
        <v>1193</v>
      </c>
      <c r="BF142" t="s">
        <v>676</v>
      </c>
      <c r="BM142" t="s">
        <v>922</v>
      </c>
      <c r="BQ142" t="s">
        <v>1194</v>
      </c>
      <c r="BR142" t="s">
        <v>1194</v>
      </c>
      <c r="BS142" t="s">
        <v>1194</v>
      </c>
      <c r="BT142" t="s">
        <v>1194</v>
      </c>
      <c r="BU142" t="s">
        <v>1194</v>
      </c>
      <c r="CA142">
        <v>1</v>
      </c>
      <c r="CB142">
        <v>173</v>
      </c>
    </row>
    <row r="143" spans="2:80" x14ac:dyDescent="0.25">
      <c r="C143" s="20">
        <v>13</v>
      </c>
      <c r="J143" s="16"/>
      <c r="K143" s="21"/>
      <c r="L143" s="16"/>
      <c r="M143" s="16"/>
      <c r="N143" s="21"/>
      <c r="O143" s="16"/>
      <c r="P143" s="16"/>
      <c r="Q143" s="16"/>
      <c r="S143" s="1" t="s">
        <v>838</v>
      </c>
      <c r="T143" s="1" t="s">
        <v>1185</v>
      </c>
      <c r="V143" t="s">
        <v>285</v>
      </c>
      <c r="W143" s="16" t="s">
        <v>1195</v>
      </c>
      <c r="AB143" s="5" t="s">
        <v>962</v>
      </c>
      <c r="AC143" s="5" t="s">
        <v>962</v>
      </c>
      <c r="AE143" s="3" t="s">
        <v>609</v>
      </c>
      <c r="AH143" t="s">
        <v>732</v>
      </c>
      <c r="AI143" t="s">
        <v>732</v>
      </c>
      <c r="AM143" s="4" t="s">
        <v>733</v>
      </c>
      <c r="AQ143" t="s">
        <v>1196</v>
      </c>
      <c r="AZ143" t="s">
        <v>1197</v>
      </c>
      <c r="BF143" t="s">
        <v>876</v>
      </c>
      <c r="BM143" t="s">
        <v>218</v>
      </c>
      <c r="BQ143" t="s">
        <v>1198</v>
      </c>
      <c r="BR143" t="s">
        <v>1198</v>
      </c>
      <c r="BS143" t="s">
        <v>1198</v>
      </c>
      <c r="BT143" t="s">
        <v>1198</v>
      </c>
      <c r="BU143" t="s">
        <v>1198</v>
      </c>
      <c r="CA143">
        <v>1</v>
      </c>
      <c r="CB143">
        <v>138</v>
      </c>
    </row>
    <row r="144" spans="2:80" x14ac:dyDescent="0.25">
      <c r="C144" s="20">
        <v>11</v>
      </c>
      <c r="J144" s="16"/>
      <c r="K144" s="21"/>
      <c r="L144" s="16"/>
      <c r="M144" s="16"/>
      <c r="N144" s="21"/>
      <c r="O144" s="16"/>
      <c r="P144" s="16"/>
      <c r="Q144" s="16"/>
      <c r="S144" s="1" t="s">
        <v>829</v>
      </c>
      <c r="T144" s="1" t="s">
        <v>706</v>
      </c>
      <c r="V144" t="s">
        <v>285</v>
      </c>
      <c r="W144" s="16" t="s">
        <v>1199</v>
      </c>
      <c r="AC144" s="5" t="s">
        <v>1200</v>
      </c>
      <c r="AL144" t="s">
        <v>224</v>
      </c>
      <c r="AM144" s="31" t="s">
        <v>800</v>
      </c>
      <c r="AQ144" t="s">
        <v>1201</v>
      </c>
      <c r="AS144" t="s">
        <v>1201</v>
      </c>
      <c r="AT144" t="s">
        <v>735</v>
      </c>
      <c r="AV144" t="s">
        <v>1202</v>
      </c>
      <c r="AZ144" t="s">
        <v>1203</v>
      </c>
      <c r="BF144" t="s">
        <v>1204</v>
      </c>
      <c r="BG144" t="s">
        <v>202</v>
      </c>
      <c r="BM144" t="s">
        <v>465</v>
      </c>
      <c r="CB144">
        <v>155</v>
      </c>
    </row>
    <row r="145" spans="2:80" x14ac:dyDescent="0.25">
      <c r="C145" s="20">
        <v>9</v>
      </c>
      <c r="J145" s="16"/>
      <c r="K145" s="21"/>
      <c r="L145" s="16"/>
      <c r="M145" s="16"/>
      <c r="N145" s="21"/>
      <c r="O145" s="16"/>
      <c r="P145" s="16"/>
      <c r="Q145" s="16"/>
      <c r="S145" s="1" t="s">
        <v>1176</v>
      </c>
      <c r="T145" s="1" t="s">
        <v>1205</v>
      </c>
      <c r="V145" t="s">
        <v>285</v>
      </c>
      <c r="W145" s="16" t="s">
        <v>1206</v>
      </c>
      <c r="AC145" s="5" t="s">
        <v>1207</v>
      </c>
      <c r="AL145" t="s">
        <v>193</v>
      </c>
      <c r="AM145" s="4" t="s">
        <v>225</v>
      </c>
      <c r="AQ145" t="s">
        <v>1208</v>
      </c>
      <c r="AZ145" t="s">
        <v>1209</v>
      </c>
      <c r="BF145" t="s">
        <v>215</v>
      </c>
      <c r="BG145" t="s">
        <v>268</v>
      </c>
      <c r="BM145" t="s">
        <v>187</v>
      </c>
      <c r="CB145">
        <v>153</v>
      </c>
    </row>
    <row r="146" spans="2:80" x14ac:dyDescent="0.25">
      <c r="C146" s="20">
        <v>15</v>
      </c>
      <c r="J146" s="16"/>
      <c r="K146" s="21"/>
      <c r="L146" s="16"/>
      <c r="M146" s="16"/>
      <c r="N146" s="21"/>
      <c r="O146" s="16"/>
      <c r="P146" s="16"/>
      <c r="Q146" s="16"/>
      <c r="S146" s="1" t="s">
        <v>1210</v>
      </c>
      <c r="T146" s="1" t="s">
        <v>1211</v>
      </c>
      <c r="V146" t="s">
        <v>285</v>
      </c>
      <c r="W146" s="16" t="s">
        <v>1212</v>
      </c>
      <c r="AC146" s="5" t="s">
        <v>1213</v>
      </c>
      <c r="AL146" t="s">
        <v>178</v>
      </c>
      <c r="AM146" s="4" t="s">
        <v>238</v>
      </c>
      <c r="AQ146" t="s">
        <v>1214</v>
      </c>
      <c r="BF146" t="s">
        <v>232</v>
      </c>
      <c r="BG146" t="s">
        <v>278</v>
      </c>
      <c r="BM146" t="s">
        <v>144</v>
      </c>
      <c r="CB146">
        <v>156</v>
      </c>
    </row>
    <row r="147" spans="2:80" x14ac:dyDescent="0.25">
      <c r="C147" s="20">
        <v>18</v>
      </c>
      <c r="E147" t="s">
        <v>1215</v>
      </c>
      <c r="J147" s="16"/>
      <c r="K147" s="21"/>
      <c r="L147" s="16"/>
      <c r="M147" s="16"/>
      <c r="N147" s="21"/>
      <c r="O147" s="16"/>
      <c r="P147" s="16"/>
      <c r="Q147" s="16"/>
      <c r="S147" s="1" t="s">
        <v>1205</v>
      </c>
      <c r="T147" s="1" t="s">
        <v>1210</v>
      </c>
      <c r="V147" t="s">
        <v>285</v>
      </c>
      <c r="W147" s="16" t="s">
        <v>1216</v>
      </c>
      <c r="AA147" s="4" t="s">
        <v>827</v>
      </c>
      <c r="AC147" s="5" t="s">
        <v>1217</v>
      </c>
      <c r="AL147" t="s">
        <v>1218</v>
      </c>
      <c r="AM147" s="4" t="s">
        <v>249</v>
      </c>
      <c r="AP147" t="s">
        <v>1219</v>
      </c>
      <c r="AQ147" t="s">
        <v>1219</v>
      </c>
      <c r="AR147" t="s">
        <v>1219</v>
      </c>
      <c r="AS147" t="s">
        <v>1219</v>
      </c>
      <c r="AT147" t="s">
        <v>1219</v>
      </c>
      <c r="AU147" t="s">
        <v>1219</v>
      </c>
      <c r="AV147" t="s">
        <v>1220</v>
      </c>
      <c r="AW147" t="s">
        <v>1221</v>
      </c>
      <c r="BF147" t="s">
        <v>891</v>
      </c>
      <c r="BM147" t="s">
        <v>170</v>
      </c>
      <c r="CB147">
        <v>154</v>
      </c>
    </row>
    <row r="148" spans="2:80" x14ac:dyDescent="0.25">
      <c r="C148" s="20">
        <v>17</v>
      </c>
      <c r="E148" t="s">
        <v>1222</v>
      </c>
      <c r="J148" s="16"/>
      <c r="K148" s="21"/>
      <c r="L148" s="16"/>
      <c r="M148" s="16"/>
      <c r="N148" s="21"/>
      <c r="O148" s="16"/>
      <c r="P148" s="16"/>
      <c r="Q148" s="16"/>
      <c r="R148"/>
      <c r="S148"/>
      <c r="T148" t="s">
        <v>1223</v>
      </c>
      <c r="V148" t="s">
        <v>285</v>
      </c>
      <c r="W148" s="16" t="s">
        <v>1224</v>
      </c>
      <c r="AC148" s="5" t="s">
        <v>1225</v>
      </c>
      <c r="AH148" t="s">
        <v>932</v>
      </c>
      <c r="AI148" t="s">
        <v>932</v>
      </c>
      <c r="AP148" t="s">
        <v>1226</v>
      </c>
      <c r="AQ148" t="s">
        <v>1226</v>
      </c>
      <c r="AR148" t="s">
        <v>1226</v>
      </c>
      <c r="AS148" t="s">
        <v>1226</v>
      </c>
      <c r="AT148" t="s">
        <v>1226</v>
      </c>
      <c r="AU148" t="s">
        <v>1226</v>
      </c>
      <c r="AV148" t="s">
        <v>1227</v>
      </c>
      <c r="AW148" t="s">
        <v>1228</v>
      </c>
      <c r="BF148" t="s">
        <v>885</v>
      </c>
      <c r="BM148" t="s">
        <v>972</v>
      </c>
      <c r="CB148">
        <v>201</v>
      </c>
    </row>
    <row r="149" spans="2:80" x14ac:dyDescent="0.25">
      <c r="C149" s="20">
        <v>39</v>
      </c>
      <c r="G149" s="25"/>
      <c r="H149" s="25"/>
      <c r="J149" s="16"/>
      <c r="K149" s="21"/>
      <c r="L149" s="21"/>
      <c r="M149" s="21"/>
      <c r="N149" s="21"/>
      <c r="O149" s="21"/>
      <c r="P149" s="21"/>
      <c r="Q149" s="16"/>
      <c r="R149">
        <v>143</v>
      </c>
      <c r="S149" t="s">
        <v>1229</v>
      </c>
      <c r="T149" t="s">
        <v>1230</v>
      </c>
      <c r="V149" t="s">
        <v>176</v>
      </c>
      <c r="W149" s="16" t="s">
        <v>1231</v>
      </c>
      <c r="AN149" s="4" t="s">
        <v>1232</v>
      </c>
      <c r="AQ149" t="s">
        <v>1233</v>
      </c>
      <c r="BA149" s="25" t="s">
        <v>1234</v>
      </c>
      <c r="BE149" t="s">
        <v>446</v>
      </c>
      <c r="BF149" t="s">
        <v>1204</v>
      </c>
      <c r="BG149" t="s">
        <v>278</v>
      </c>
      <c r="BM149" t="s">
        <v>1183</v>
      </c>
      <c r="CA149">
        <v>2</v>
      </c>
      <c r="CB149">
        <v>194</v>
      </c>
    </row>
    <row r="150" spans="2:80" x14ac:dyDescent="0.25">
      <c r="C150" s="20">
        <v>46</v>
      </c>
      <c r="G150" s="25"/>
      <c r="H150" s="25"/>
      <c r="J150" s="16"/>
      <c r="K150" s="21"/>
      <c r="L150" s="16"/>
      <c r="M150" s="16"/>
      <c r="N150" s="21"/>
      <c r="O150" s="16"/>
      <c r="P150" s="16"/>
      <c r="Q150" s="16"/>
      <c r="R150" s="1">
        <v>144</v>
      </c>
      <c r="S150" s="1" t="s">
        <v>235</v>
      </c>
      <c r="T150" s="1" t="s">
        <v>1229</v>
      </c>
      <c r="V150" t="s">
        <v>176</v>
      </c>
      <c r="W150" s="16" t="s">
        <v>1235</v>
      </c>
      <c r="AL150" t="s">
        <v>1218</v>
      </c>
      <c r="AM150" s="4" t="s">
        <v>800</v>
      </c>
      <c r="AN150" s="4" t="s">
        <v>1236</v>
      </c>
      <c r="AP150" t="s">
        <v>1237</v>
      </c>
      <c r="AQ150" t="s">
        <v>1237</v>
      </c>
      <c r="AR150" t="s">
        <v>1237</v>
      </c>
      <c r="AS150" t="s">
        <v>1237</v>
      </c>
      <c r="AT150" t="s">
        <v>1237</v>
      </c>
      <c r="AU150" t="s">
        <v>1237</v>
      </c>
      <c r="AV150" t="s">
        <v>1238</v>
      </c>
      <c r="AW150" t="s">
        <v>1181</v>
      </c>
      <c r="BA150" s="25" t="s">
        <v>1239</v>
      </c>
      <c r="BE150" t="s">
        <v>431</v>
      </c>
      <c r="BF150" t="s">
        <v>876</v>
      </c>
      <c r="BG150" t="s">
        <v>268</v>
      </c>
      <c r="BM150" t="s">
        <v>972</v>
      </c>
      <c r="CA150">
        <v>2</v>
      </c>
      <c r="CB150">
        <v>163</v>
      </c>
    </row>
    <row r="151" spans="2:80" x14ac:dyDescent="0.25">
      <c r="C151" s="20">
        <v>42</v>
      </c>
      <c r="G151" s="25"/>
      <c r="H151" s="25"/>
      <c r="J151" s="16"/>
      <c r="K151" s="21"/>
      <c r="L151" s="21"/>
      <c r="M151" s="21"/>
      <c r="N151" s="21"/>
      <c r="O151" s="21"/>
      <c r="P151" s="21"/>
      <c r="Q151" s="16"/>
      <c r="R151">
        <v>145</v>
      </c>
      <c r="S151" t="s">
        <v>261</v>
      </c>
      <c r="T151" t="s">
        <v>174</v>
      </c>
      <c r="V151" t="s">
        <v>176</v>
      </c>
      <c r="W151" s="16" t="s">
        <v>1240</v>
      </c>
      <c r="AN151" s="4" t="s">
        <v>1241</v>
      </c>
      <c r="AP151" t="s">
        <v>1242</v>
      </c>
      <c r="AQ151" t="s">
        <v>1242</v>
      </c>
      <c r="AR151" t="s">
        <v>1242</v>
      </c>
      <c r="AS151" t="s">
        <v>1242</v>
      </c>
      <c r="AT151" t="s">
        <v>1242</v>
      </c>
      <c r="AU151" t="s">
        <v>1242</v>
      </c>
      <c r="AV151" t="s">
        <v>1243</v>
      </c>
      <c r="AW151" t="s">
        <v>1192</v>
      </c>
      <c r="BA151" s="25" t="s">
        <v>1244</v>
      </c>
      <c r="BE151" t="s">
        <v>414</v>
      </c>
      <c r="BF151" t="s">
        <v>885</v>
      </c>
      <c r="BM151" t="s">
        <v>848</v>
      </c>
      <c r="CA151">
        <v>2</v>
      </c>
      <c r="CB151">
        <v>179</v>
      </c>
    </row>
    <row r="152" spans="2:80" x14ac:dyDescent="0.25">
      <c r="C152" s="20">
        <v>40</v>
      </c>
      <c r="E152" s="24" t="s">
        <v>1245</v>
      </c>
      <c r="H152" s="25"/>
      <c r="J152" s="16" t="s">
        <v>1246</v>
      </c>
      <c r="K152" s="21"/>
      <c r="L152" s="21"/>
      <c r="M152" s="21"/>
      <c r="N152" s="21"/>
      <c r="O152" s="21"/>
      <c r="P152" s="21" t="s">
        <v>173</v>
      </c>
      <c r="Q152" s="16"/>
      <c r="R152">
        <v>146</v>
      </c>
      <c r="S152" t="s">
        <v>1247</v>
      </c>
      <c r="T152" t="s">
        <v>165</v>
      </c>
      <c r="V152" t="s">
        <v>176</v>
      </c>
      <c r="W152" s="16" t="s">
        <v>1248</v>
      </c>
      <c r="AN152" s="4" t="s">
        <v>1164</v>
      </c>
      <c r="AR152" t="s">
        <v>1249</v>
      </c>
      <c r="AS152" t="s">
        <v>1249</v>
      </c>
      <c r="AT152" t="s">
        <v>767</v>
      </c>
      <c r="AV152" t="s">
        <v>1249</v>
      </c>
      <c r="BA152" s="26" t="s">
        <v>1246</v>
      </c>
      <c r="BD152" t="s">
        <v>349</v>
      </c>
      <c r="BF152" t="s">
        <v>891</v>
      </c>
      <c r="BM152" t="s">
        <v>306</v>
      </c>
      <c r="CA152">
        <v>2</v>
      </c>
      <c r="CB152">
        <v>164</v>
      </c>
    </row>
    <row r="153" spans="2:80" x14ac:dyDescent="0.25">
      <c r="C153" s="20">
        <v>38</v>
      </c>
      <c r="G153" s="25"/>
      <c r="H153" s="25"/>
      <c r="J153" s="16"/>
      <c r="K153" s="21"/>
      <c r="L153" s="21"/>
      <c r="M153" s="21"/>
      <c r="N153" s="21"/>
      <c r="O153" s="21"/>
      <c r="P153" s="21"/>
      <c r="Q153" s="16"/>
      <c r="R153">
        <v>148</v>
      </c>
      <c r="S153" t="s">
        <v>246</v>
      </c>
      <c r="T153" t="s">
        <v>158</v>
      </c>
      <c r="V153" t="s">
        <v>176</v>
      </c>
      <c r="W153" s="16" t="s">
        <v>1250</v>
      </c>
      <c r="AA153" s="4" t="s">
        <v>827</v>
      </c>
      <c r="AN153" s="4" t="s">
        <v>1172</v>
      </c>
      <c r="AQ153" t="s">
        <v>1251</v>
      </c>
      <c r="AS153" t="s">
        <v>1251</v>
      </c>
      <c r="AT153" t="s">
        <v>767</v>
      </c>
      <c r="AV153" t="s">
        <v>1252</v>
      </c>
      <c r="BA153" s="25" t="s">
        <v>1253</v>
      </c>
      <c r="BD153" t="s">
        <v>362</v>
      </c>
      <c r="BF153" t="s">
        <v>971</v>
      </c>
      <c r="BM153" t="s">
        <v>144</v>
      </c>
      <c r="CA153">
        <v>2</v>
      </c>
      <c r="CB153">
        <v>180</v>
      </c>
    </row>
    <row r="154" spans="2:80" x14ac:dyDescent="0.25">
      <c r="B154">
        <v>44</v>
      </c>
      <c r="C154" s="20"/>
      <c r="J154" s="16"/>
      <c r="K154" s="21"/>
      <c r="L154" s="21"/>
      <c r="M154" s="21"/>
      <c r="N154" s="21"/>
      <c r="O154" s="21"/>
      <c r="P154" s="21"/>
      <c r="Q154" s="16"/>
      <c r="R154"/>
      <c r="S154"/>
      <c r="T154" t="s">
        <v>108</v>
      </c>
      <c r="V154" t="s">
        <v>285</v>
      </c>
      <c r="W154" s="16" t="s">
        <v>1254</v>
      </c>
      <c r="AB154" s="5" t="s">
        <v>1255</v>
      </c>
      <c r="AC154" s="5" t="s">
        <v>1255</v>
      </c>
      <c r="AE154" s="3" t="s">
        <v>574</v>
      </c>
      <c r="AH154" t="s">
        <v>854</v>
      </c>
      <c r="AI154" t="s">
        <v>854</v>
      </c>
      <c r="AJ154" t="s">
        <v>854</v>
      </c>
      <c r="AK154" s="31" t="s">
        <v>854</v>
      </c>
      <c r="AP154" t="s">
        <v>1256</v>
      </c>
      <c r="AQ154" t="s">
        <v>1256</v>
      </c>
      <c r="AR154" t="s">
        <v>1256</v>
      </c>
      <c r="AS154" t="s">
        <v>1256</v>
      </c>
      <c r="AT154" t="s">
        <v>1256</v>
      </c>
      <c r="AU154" t="s">
        <v>1256</v>
      </c>
      <c r="AV154" s="16" t="s">
        <v>1257</v>
      </c>
      <c r="AW154" t="s">
        <v>1258</v>
      </c>
      <c r="BJ154" t="s">
        <v>1259</v>
      </c>
      <c r="BK154" t="s">
        <v>162</v>
      </c>
      <c r="BM154" t="s">
        <v>770</v>
      </c>
      <c r="CB154">
        <v>169</v>
      </c>
    </row>
    <row r="155" spans="2:80" x14ac:dyDescent="0.25">
      <c r="B155">
        <v>46</v>
      </c>
      <c r="C155" s="20"/>
      <c r="J155" s="16"/>
      <c r="K155" s="21"/>
      <c r="L155" s="21"/>
      <c r="M155" s="21"/>
      <c r="N155" s="21"/>
      <c r="O155" s="21"/>
      <c r="P155" s="21"/>
      <c r="Q155" s="16"/>
      <c r="R155"/>
      <c r="S155"/>
      <c r="T155" t="s">
        <v>1260</v>
      </c>
      <c r="V155" t="s">
        <v>285</v>
      </c>
      <c r="W155" s="16" t="s">
        <v>1261</v>
      </c>
      <c r="AB155" s="5" t="s">
        <v>1262</v>
      </c>
      <c r="AC155" s="5" t="s">
        <v>1262</v>
      </c>
      <c r="AE155" s="3" t="s">
        <v>586</v>
      </c>
      <c r="AH155" t="s">
        <v>863</v>
      </c>
      <c r="AI155" t="s">
        <v>863</v>
      </c>
      <c r="AJ155" t="s">
        <v>863</v>
      </c>
      <c r="AK155" s="31" t="s">
        <v>863</v>
      </c>
      <c r="AP155" t="s">
        <v>1263</v>
      </c>
      <c r="AQ155" t="s">
        <v>1263</v>
      </c>
      <c r="AR155" t="s">
        <v>1263</v>
      </c>
      <c r="AS155" t="s">
        <v>1263</v>
      </c>
      <c r="AT155" t="s">
        <v>1263</v>
      </c>
      <c r="AU155" t="s">
        <v>1263</v>
      </c>
      <c r="AV155" s="16" t="s">
        <v>1264</v>
      </c>
      <c r="AW155" s="16" t="s">
        <v>1265</v>
      </c>
      <c r="BJ155" t="s">
        <v>1266</v>
      </c>
      <c r="BM155" t="s">
        <v>259</v>
      </c>
      <c r="CB155">
        <v>200</v>
      </c>
    </row>
    <row r="156" spans="2:80" x14ac:dyDescent="0.25">
      <c r="B156">
        <v>20</v>
      </c>
      <c r="C156" s="20"/>
      <c r="J156" s="16"/>
      <c r="K156" s="21"/>
      <c r="L156" s="16"/>
      <c r="M156" s="16"/>
      <c r="N156" s="21"/>
      <c r="O156" s="16"/>
      <c r="P156" s="16"/>
      <c r="Q156" s="16"/>
      <c r="R156"/>
      <c r="S156"/>
      <c r="T156" t="s">
        <v>97</v>
      </c>
      <c r="V156" t="s">
        <v>285</v>
      </c>
      <c r="W156" s="16" t="s">
        <v>1267</v>
      </c>
      <c r="AB156" s="5" t="s">
        <v>1268</v>
      </c>
      <c r="AC156" s="5" t="s">
        <v>1268</v>
      </c>
      <c r="BF156" t="s">
        <v>971</v>
      </c>
      <c r="BM156" t="s">
        <v>1183</v>
      </c>
      <c r="CB156">
        <v>151</v>
      </c>
    </row>
    <row r="157" spans="2:80" x14ac:dyDescent="0.25">
      <c r="C157" s="20">
        <v>47</v>
      </c>
      <c r="E157" s="24" t="s">
        <v>1269</v>
      </c>
      <c r="H157" s="25"/>
      <c r="J157" s="16" t="s">
        <v>1270</v>
      </c>
      <c r="K157" s="21"/>
      <c r="L157" s="21"/>
      <c r="M157" s="21"/>
      <c r="N157" s="21"/>
      <c r="O157" s="21"/>
      <c r="P157" s="21" t="s">
        <v>173</v>
      </c>
      <c r="Q157" s="16"/>
      <c r="R157">
        <v>149</v>
      </c>
      <c r="S157" t="s">
        <v>191</v>
      </c>
      <c r="T157" t="s">
        <v>1271</v>
      </c>
      <c r="V157" t="s">
        <v>176</v>
      </c>
      <c r="W157" s="16" t="s">
        <v>1272</v>
      </c>
      <c r="AN157" s="4" t="s">
        <v>1273</v>
      </c>
      <c r="AP157" t="s">
        <v>1274</v>
      </c>
      <c r="AQ157" t="s">
        <v>1274</v>
      </c>
      <c r="AR157" t="s">
        <v>1274</v>
      </c>
      <c r="AS157" t="s">
        <v>1274</v>
      </c>
      <c r="AT157" t="s">
        <v>1274</v>
      </c>
      <c r="AU157" t="s">
        <v>1274</v>
      </c>
      <c r="AV157" t="s">
        <v>1275</v>
      </c>
      <c r="AW157" t="s">
        <v>1276</v>
      </c>
      <c r="BA157" s="26" t="s">
        <v>1270</v>
      </c>
      <c r="BF157" t="s">
        <v>957</v>
      </c>
      <c r="BM157" t="s">
        <v>153</v>
      </c>
      <c r="CA157">
        <v>2</v>
      </c>
      <c r="CB157">
        <v>206</v>
      </c>
    </row>
    <row r="158" spans="2:80" x14ac:dyDescent="0.25">
      <c r="C158" s="20">
        <v>45</v>
      </c>
      <c r="G158" s="25"/>
      <c r="H158" s="25"/>
      <c r="J158" s="16"/>
      <c r="K158" s="21"/>
      <c r="L158" s="21"/>
      <c r="M158" s="21"/>
      <c r="N158" s="21"/>
      <c r="O158" s="21"/>
      <c r="P158" s="21"/>
      <c r="Q158" s="16"/>
      <c r="R158">
        <v>150</v>
      </c>
      <c r="S158" t="s">
        <v>205</v>
      </c>
      <c r="T158" t="s">
        <v>1277</v>
      </c>
      <c r="V158" t="s">
        <v>176</v>
      </c>
      <c r="W158" s="16" t="s">
        <v>1278</v>
      </c>
      <c r="AP158" t="s">
        <v>1279</v>
      </c>
      <c r="AQ158" t="s">
        <v>1279</v>
      </c>
      <c r="AR158" t="s">
        <v>1279</v>
      </c>
      <c r="AS158" t="s">
        <v>1279</v>
      </c>
      <c r="AT158" t="s">
        <v>1279</v>
      </c>
      <c r="AU158" t="s">
        <v>1279</v>
      </c>
      <c r="AV158" t="s">
        <v>1280</v>
      </c>
      <c r="AW158" t="s">
        <v>1281</v>
      </c>
      <c r="BA158" s="25" t="s">
        <v>1282</v>
      </c>
      <c r="BM158" t="s">
        <v>300</v>
      </c>
      <c r="CA158">
        <v>2</v>
      </c>
      <c r="CB158">
        <v>193</v>
      </c>
    </row>
    <row r="159" spans="2:80" x14ac:dyDescent="0.25">
      <c r="C159" s="20">
        <v>35</v>
      </c>
      <c r="G159" s="16"/>
      <c r="H159" s="16"/>
      <c r="J159" s="16"/>
      <c r="K159" s="21"/>
      <c r="L159" s="16"/>
      <c r="M159" s="16"/>
      <c r="N159" s="21"/>
      <c r="O159" s="16"/>
      <c r="P159" s="16"/>
      <c r="Q159" s="16"/>
      <c r="R159"/>
      <c r="S159"/>
      <c r="T159" t="s">
        <v>126</v>
      </c>
      <c r="V159" t="s">
        <v>176</v>
      </c>
      <c r="W159" s="16" t="s">
        <v>1283</v>
      </c>
      <c r="AF159" s="3" t="s">
        <v>1130</v>
      </c>
      <c r="AR159" t="s">
        <v>1284</v>
      </c>
      <c r="AS159" t="s">
        <v>1284</v>
      </c>
      <c r="AT159" t="s">
        <v>920</v>
      </c>
      <c r="AV159" t="s">
        <v>1284</v>
      </c>
      <c r="BB159" s="31" t="s">
        <v>1285</v>
      </c>
      <c r="BF159" t="s">
        <v>292</v>
      </c>
      <c r="BH159" t="s">
        <v>816</v>
      </c>
      <c r="BM159" t="s">
        <v>518</v>
      </c>
      <c r="CB159">
        <v>136</v>
      </c>
    </row>
    <row r="160" spans="2:80" x14ac:dyDescent="0.25">
      <c r="C160" s="20">
        <v>37</v>
      </c>
      <c r="G160" s="16"/>
      <c r="H160" s="16"/>
      <c r="J160" s="16"/>
      <c r="K160" s="21"/>
      <c r="L160" s="16"/>
      <c r="M160" s="16"/>
      <c r="N160" s="21"/>
      <c r="O160" s="16"/>
      <c r="P160" s="16"/>
      <c r="Q160" s="16"/>
      <c r="R160"/>
      <c r="S160"/>
      <c r="T160" t="s">
        <v>1286</v>
      </c>
      <c r="V160" t="s">
        <v>176</v>
      </c>
      <c r="W160" s="16" t="s">
        <v>1287</v>
      </c>
      <c r="AF160" s="3" t="s">
        <v>1142</v>
      </c>
      <c r="AG160" t="s">
        <v>684</v>
      </c>
      <c r="AQ160" t="s">
        <v>1288</v>
      </c>
      <c r="BB160" s="31" t="s">
        <v>1289</v>
      </c>
      <c r="BF160" t="s">
        <v>288</v>
      </c>
      <c r="BH160" t="s">
        <v>805</v>
      </c>
      <c r="BM160" t="s">
        <v>793</v>
      </c>
      <c r="CA160">
        <v>2</v>
      </c>
      <c r="CB160">
        <v>148</v>
      </c>
    </row>
    <row r="161" spans="2:80" x14ac:dyDescent="0.25">
      <c r="C161" s="20">
        <v>32</v>
      </c>
      <c r="G161" s="16"/>
      <c r="H161" s="16"/>
      <c r="J161" s="16"/>
      <c r="K161" s="21"/>
      <c r="L161" s="21"/>
      <c r="M161" s="21"/>
      <c r="N161" s="21"/>
      <c r="O161" s="21"/>
      <c r="P161" s="21"/>
      <c r="Q161" s="16"/>
      <c r="R161"/>
      <c r="S161"/>
      <c r="T161" t="s">
        <v>1290</v>
      </c>
      <c r="V161" t="s">
        <v>176</v>
      </c>
      <c r="W161" s="16" t="s">
        <v>1291</v>
      </c>
      <c r="AF161" s="3" t="s">
        <v>1151</v>
      </c>
      <c r="AG161" t="s">
        <v>383</v>
      </c>
      <c r="AQ161" t="s">
        <v>1292</v>
      </c>
      <c r="AS161" t="s">
        <v>1292</v>
      </c>
      <c r="AT161" t="s">
        <v>920</v>
      </c>
      <c r="AV161" t="s">
        <v>1293</v>
      </c>
      <c r="BB161" t="s">
        <v>1294</v>
      </c>
      <c r="BF161" t="s">
        <v>1204</v>
      </c>
      <c r="BJ161" t="s">
        <v>1295</v>
      </c>
      <c r="BM161" t="s">
        <v>293</v>
      </c>
      <c r="CB161">
        <v>165</v>
      </c>
    </row>
    <row r="162" spans="2:80" x14ac:dyDescent="0.25">
      <c r="B162" s="30"/>
      <c r="C162" s="30"/>
      <c r="D162" s="30"/>
      <c r="E162" s="27" t="s">
        <v>1296</v>
      </c>
      <c r="J162" s="16" t="s">
        <v>1297</v>
      </c>
      <c r="K162" s="21"/>
      <c r="L162" s="16"/>
      <c r="M162" s="16"/>
      <c r="N162" s="21"/>
      <c r="O162" s="16"/>
      <c r="P162" s="16" t="s">
        <v>296</v>
      </c>
      <c r="Q162" s="16"/>
      <c r="R162">
        <v>104</v>
      </c>
      <c r="S162" t="s">
        <v>1073</v>
      </c>
      <c r="T162" t="s">
        <v>1033</v>
      </c>
      <c r="V162" t="s">
        <v>285</v>
      </c>
      <c r="W162" s="16" t="s">
        <v>1298</v>
      </c>
      <c r="X162" t="s">
        <v>1297</v>
      </c>
      <c r="Y162" s="27" t="s">
        <v>1297</v>
      </c>
      <c r="AE162" s="3" t="s">
        <v>597</v>
      </c>
      <c r="AF162" s="3" t="s">
        <v>1151</v>
      </c>
      <c r="AR162" t="s">
        <v>1299</v>
      </c>
      <c r="AS162" t="s">
        <v>1299</v>
      </c>
      <c r="AT162" t="s">
        <v>920</v>
      </c>
      <c r="AV162" t="s">
        <v>1299</v>
      </c>
      <c r="BD162" t="s">
        <v>184</v>
      </c>
      <c r="BF162" t="s">
        <v>570</v>
      </c>
      <c r="BM162" t="s">
        <v>153</v>
      </c>
      <c r="CB162">
        <v>13</v>
      </c>
    </row>
    <row r="163" spans="2:80" x14ac:dyDescent="0.25">
      <c r="B163">
        <v>25</v>
      </c>
      <c r="C163" s="20"/>
      <c r="J163" t="s">
        <v>1300</v>
      </c>
      <c r="K163" s="21"/>
      <c r="L163" s="16"/>
      <c r="M163" s="16"/>
      <c r="N163" s="21"/>
      <c r="O163" s="16"/>
      <c r="P163" s="16"/>
      <c r="Q163" s="16"/>
      <c r="R163">
        <v>175</v>
      </c>
      <c r="S163" t="s">
        <v>960</v>
      </c>
      <c r="T163" t="s">
        <v>1301</v>
      </c>
      <c r="V163" t="s">
        <v>1302</v>
      </c>
      <c r="W163" s="16" t="s">
        <v>1303</v>
      </c>
      <c r="AG163" t="s">
        <v>1300</v>
      </c>
      <c r="AO163" t="s">
        <v>208</v>
      </c>
      <c r="BF163" t="s">
        <v>185</v>
      </c>
      <c r="BM163" t="s">
        <v>147</v>
      </c>
      <c r="CA163">
        <v>2</v>
      </c>
      <c r="CB163">
        <v>215</v>
      </c>
    </row>
    <row r="164" spans="2:80" x14ac:dyDescent="0.25">
      <c r="B164">
        <v>27</v>
      </c>
      <c r="C164" s="20"/>
      <c r="J164" t="s">
        <v>1304</v>
      </c>
      <c r="K164" s="21"/>
      <c r="L164" s="16"/>
      <c r="M164" s="16"/>
      <c r="N164" s="21"/>
      <c r="O164" s="16"/>
      <c r="P164" s="16"/>
      <c r="Q164" s="16"/>
      <c r="R164">
        <v>174</v>
      </c>
      <c r="S164" t="s">
        <v>845</v>
      </c>
      <c r="T164" t="s">
        <v>1305</v>
      </c>
      <c r="V164" t="s">
        <v>1302</v>
      </c>
      <c r="W164" s="16" t="s">
        <v>1306</v>
      </c>
      <c r="AG164" t="s">
        <v>1304</v>
      </c>
      <c r="AO164" t="s">
        <v>227</v>
      </c>
      <c r="BF164" t="s">
        <v>201</v>
      </c>
      <c r="BM164" t="s">
        <v>153</v>
      </c>
      <c r="CA164">
        <v>2</v>
      </c>
      <c r="CB164">
        <v>202</v>
      </c>
    </row>
    <row r="165" spans="2:80" x14ac:dyDescent="0.25">
      <c r="C165" s="35">
        <v>51</v>
      </c>
      <c r="E165" s="41" t="s">
        <v>1307</v>
      </c>
      <c r="J165" s="41" t="s">
        <v>1307</v>
      </c>
      <c r="K165" s="21"/>
      <c r="L165" s="21"/>
      <c r="M165" s="21"/>
      <c r="N165" s="21"/>
      <c r="O165" s="21"/>
      <c r="P165" s="21"/>
      <c r="Q165" s="16"/>
      <c r="R165"/>
      <c r="S165"/>
      <c r="T165" t="s">
        <v>692</v>
      </c>
      <c r="V165" t="s">
        <v>176</v>
      </c>
      <c r="W165" s="16" t="s">
        <v>1308</v>
      </c>
      <c r="AA165" s="34" t="s">
        <v>1307</v>
      </c>
      <c r="AQ165" t="s">
        <v>1309</v>
      </c>
      <c r="BD165" t="s">
        <v>675</v>
      </c>
      <c r="BM165" t="s">
        <v>770</v>
      </c>
      <c r="CB165">
        <v>176</v>
      </c>
    </row>
    <row r="166" spans="2:80" x14ac:dyDescent="0.25">
      <c r="C166" s="35">
        <v>49</v>
      </c>
      <c r="E166" s="7" t="s">
        <v>1310</v>
      </c>
      <c r="J166" s="7" t="s">
        <v>1310</v>
      </c>
      <c r="K166" s="21"/>
      <c r="L166" s="21"/>
      <c r="M166" s="21"/>
      <c r="N166" s="21"/>
      <c r="O166" s="21"/>
      <c r="P166" s="21"/>
      <c r="Q166" s="16"/>
      <c r="R166"/>
      <c r="S166"/>
      <c r="T166" t="s">
        <v>1311</v>
      </c>
      <c r="V166" t="s">
        <v>176</v>
      </c>
      <c r="W166" s="16" t="s">
        <v>1312</v>
      </c>
      <c r="AA166" s="34" t="s">
        <v>1310</v>
      </c>
      <c r="AQ166" t="s">
        <v>1313</v>
      </c>
      <c r="AS166" t="s">
        <v>1313</v>
      </c>
      <c r="AT166" t="s">
        <v>660</v>
      </c>
      <c r="AV166" t="s">
        <v>1314</v>
      </c>
      <c r="BD166" t="s">
        <v>661</v>
      </c>
      <c r="BG166" t="s">
        <v>416</v>
      </c>
      <c r="BM166" t="s">
        <v>280</v>
      </c>
      <c r="CB166">
        <v>192</v>
      </c>
    </row>
    <row r="167" spans="2:80" x14ac:dyDescent="0.25">
      <c r="B167">
        <v>17</v>
      </c>
      <c r="C167" s="20"/>
      <c r="J167" s="16"/>
      <c r="K167" s="21"/>
      <c r="L167" s="16"/>
      <c r="M167" s="16"/>
      <c r="N167" s="21"/>
      <c r="O167" s="16"/>
      <c r="P167" s="16"/>
      <c r="Q167" s="16"/>
      <c r="R167"/>
      <c r="S167" t="s">
        <v>1315</v>
      </c>
      <c r="T167" t="s">
        <v>1316</v>
      </c>
      <c r="V167" t="s">
        <v>285</v>
      </c>
      <c r="W167" s="16" t="s">
        <v>1317</v>
      </c>
      <c r="AB167" s="5" t="s">
        <v>1318</v>
      </c>
      <c r="AC167" s="5" t="s">
        <v>1318</v>
      </c>
      <c r="AD167" s="3" t="s">
        <v>720</v>
      </c>
      <c r="AE167" s="3" t="s">
        <v>720</v>
      </c>
      <c r="BC167" t="s">
        <v>714</v>
      </c>
      <c r="BF167" t="s">
        <v>1319</v>
      </c>
      <c r="BM167" t="s">
        <v>259</v>
      </c>
      <c r="BO167" t="s">
        <v>627</v>
      </c>
      <c r="BQ167" t="s">
        <v>1320</v>
      </c>
      <c r="BR167" t="s">
        <v>1320</v>
      </c>
      <c r="CB167">
        <v>66</v>
      </c>
    </row>
    <row r="168" spans="2:80" x14ac:dyDescent="0.25">
      <c r="B168">
        <v>18</v>
      </c>
      <c r="C168" s="20"/>
      <c r="J168" s="16"/>
      <c r="K168" s="21"/>
      <c r="L168" s="16"/>
      <c r="M168" s="16"/>
      <c r="N168" s="21"/>
      <c r="O168" s="16"/>
      <c r="P168" s="16"/>
      <c r="Q168" s="16"/>
      <c r="R168"/>
      <c r="S168"/>
      <c r="T168" t="s">
        <v>1315</v>
      </c>
      <c r="V168" t="s">
        <v>285</v>
      </c>
      <c r="W168" s="16" t="s">
        <v>1321</v>
      </c>
      <c r="AB168" s="5" t="s">
        <v>1322</v>
      </c>
      <c r="AC168" s="5" t="s">
        <v>1322</v>
      </c>
      <c r="BF168" t="s">
        <v>1204</v>
      </c>
      <c r="BM168" t="s">
        <v>203</v>
      </c>
      <c r="CB168">
        <v>49</v>
      </c>
    </row>
    <row r="169" spans="2:80" x14ac:dyDescent="0.25">
      <c r="B169">
        <v>60</v>
      </c>
      <c r="C169" s="20"/>
      <c r="J169" s="16"/>
      <c r="K169" s="21"/>
      <c r="L169" s="16"/>
      <c r="M169" s="16"/>
      <c r="N169" s="21"/>
      <c r="O169" s="16"/>
      <c r="P169" s="16"/>
      <c r="Q169" s="16"/>
      <c r="R169"/>
      <c r="S169"/>
      <c r="T169" t="s">
        <v>1323</v>
      </c>
      <c r="V169" t="s">
        <v>285</v>
      </c>
      <c r="W169" s="16" t="s">
        <v>1324</v>
      </c>
      <c r="AB169" s="5" t="s">
        <v>1325</v>
      </c>
      <c r="AC169" s="5" t="s">
        <v>1325</v>
      </c>
      <c r="AI169" s="10" t="s">
        <v>1326</v>
      </c>
      <c r="BF169" t="s">
        <v>876</v>
      </c>
      <c r="BM169" t="s">
        <v>187</v>
      </c>
      <c r="CB169">
        <v>11</v>
      </c>
    </row>
    <row r="170" spans="2:80" x14ac:dyDescent="0.25">
      <c r="C170" s="20"/>
      <c r="D170">
        <v>51</v>
      </c>
      <c r="J170" s="16"/>
      <c r="K170" s="21"/>
      <c r="L170" s="16"/>
      <c r="M170" s="16"/>
      <c r="N170" s="21"/>
      <c r="O170" s="16"/>
      <c r="P170" s="16"/>
      <c r="Q170" s="16"/>
      <c r="R170" s="1">
        <v>50</v>
      </c>
      <c r="S170" s="1" t="s">
        <v>1013</v>
      </c>
      <c r="T170" s="1" t="s">
        <v>1013</v>
      </c>
      <c r="V170" t="s">
        <v>285</v>
      </c>
      <c r="W170" s="16" t="s">
        <v>1327</v>
      </c>
      <c r="AC170" s="5" t="s">
        <v>1328</v>
      </c>
      <c r="AD170" s="3" t="s">
        <v>1118</v>
      </c>
      <c r="AE170" s="3" t="s">
        <v>1118</v>
      </c>
      <c r="AF170" s="3" t="s">
        <v>880</v>
      </c>
      <c r="AH170" s="31" t="s">
        <v>1329</v>
      </c>
      <c r="AI170" t="s">
        <v>1329</v>
      </c>
      <c r="AJ170" s="31" t="s">
        <v>1330</v>
      </c>
      <c r="AK170" s="31" t="s">
        <v>1331</v>
      </c>
      <c r="AM170" s="31" t="s">
        <v>1332</v>
      </c>
      <c r="AP170" t="s">
        <v>1333</v>
      </c>
      <c r="AQ170" t="s">
        <v>1333</v>
      </c>
      <c r="AR170" t="s">
        <v>1333</v>
      </c>
      <c r="AS170" t="s">
        <v>1333</v>
      </c>
      <c r="AT170" t="s">
        <v>1333</v>
      </c>
      <c r="AU170" t="s">
        <v>1333</v>
      </c>
      <c r="AV170" t="s">
        <v>1334</v>
      </c>
      <c r="AW170" t="s">
        <v>1335</v>
      </c>
      <c r="BF170" t="s">
        <v>1319</v>
      </c>
      <c r="BJ170" t="s">
        <v>233</v>
      </c>
      <c r="BM170" t="s">
        <v>593</v>
      </c>
      <c r="CB170">
        <v>9</v>
      </c>
    </row>
    <row r="171" spans="2:80" x14ac:dyDescent="0.25">
      <c r="C171" s="20"/>
      <c r="D171">
        <v>41</v>
      </c>
      <c r="J171" s="16"/>
      <c r="K171" s="21"/>
      <c r="L171" s="16"/>
      <c r="M171" s="16"/>
      <c r="N171" s="21"/>
      <c r="O171" s="16"/>
      <c r="P171" s="16"/>
      <c r="Q171" s="16"/>
      <c r="R171" s="1">
        <v>49</v>
      </c>
      <c r="S171" s="1" t="s">
        <v>1336</v>
      </c>
      <c r="T171" s="1" t="s">
        <v>937</v>
      </c>
      <c r="V171" t="s">
        <v>285</v>
      </c>
      <c r="W171" s="16" t="s">
        <v>1337</v>
      </c>
      <c r="AC171" s="5" t="s">
        <v>1338</v>
      </c>
      <c r="AD171" s="3" t="s">
        <v>1339</v>
      </c>
      <c r="AE171" s="3" t="s">
        <v>1339</v>
      </c>
      <c r="AF171" s="3" t="s">
        <v>871</v>
      </c>
      <c r="AG171" t="s">
        <v>684</v>
      </c>
      <c r="AH171" s="31" t="s">
        <v>1340</v>
      </c>
      <c r="AI171" s="10" t="s">
        <v>1340</v>
      </c>
      <c r="AJ171" s="31" t="s">
        <v>1341</v>
      </c>
      <c r="AK171" s="31" t="s">
        <v>1342</v>
      </c>
      <c r="AM171" s="31" t="s">
        <v>1343</v>
      </c>
      <c r="AQ171" t="s">
        <v>1344</v>
      </c>
      <c r="BC171" s="31" t="s">
        <v>1345</v>
      </c>
      <c r="BF171" t="s">
        <v>957</v>
      </c>
      <c r="BH171" t="s">
        <v>580</v>
      </c>
      <c r="BJ171" t="s">
        <v>244</v>
      </c>
      <c r="BM171" t="s">
        <v>581</v>
      </c>
      <c r="CB171">
        <v>8</v>
      </c>
    </row>
    <row r="172" spans="2:80" x14ac:dyDescent="0.25">
      <c r="C172" s="20"/>
      <c r="D172">
        <v>39</v>
      </c>
      <c r="J172" s="16"/>
      <c r="K172" s="21"/>
      <c r="L172" s="16"/>
      <c r="M172" s="16"/>
      <c r="N172" s="21"/>
      <c r="O172" s="16"/>
      <c r="P172" s="16"/>
      <c r="Q172" s="16"/>
      <c r="R172" s="1">
        <v>48</v>
      </c>
      <c r="S172" s="1" t="s">
        <v>1346</v>
      </c>
      <c r="T172" s="1" t="s">
        <v>436</v>
      </c>
      <c r="V172" t="s">
        <v>285</v>
      </c>
      <c r="W172" s="16" t="s">
        <v>1347</v>
      </c>
      <c r="AC172" s="5" t="s">
        <v>1348</v>
      </c>
      <c r="AD172" s="3" t="s">
        <v>1349</v>
      </c>
      <c r="AE172" s="3" t="s">
        <v>1349</v>
      </c>
      <c r="AF172" s="3" t="s">
        <v>1151</v>
      </c>
      <c r="AG172" t="s">
        <v>383</v>
      </c>
      <c r="AH172" s="31" t="s">
        <v>1350</v>
      </c>
      <c r="AI172" s="10" t="s">
        <v>1350</v>
      </c>
      <c r="AJ172" s="31" t="s">
        <v>1351</v>
      </c>
      <c r="AK172" s="31" t="s">
        <v>1352</v>
      </c>
      <c r="AM172" s="31" t="s">
        <v>1353</v>
      </c>
      <c r="AR172" t="s">
        <v>1354</v>
      </c>
      <c r="AS172" t="s">
        <v>1354</v>
      </c>
      <c r="AT172" t="s">
        <v>569</v>
      </c>
      <c r="AV172" t="s">
        <v>1354</v>
      </c>
      <c r="BC172" s="31" t="s">
        <v>1355</v>
      </c>
      <c r="BF172" t="s">
        <v>971</v>
      </c>
      <c r="BH172" t="s">
        <v>592</v>
      </c>
      <c r="BJ172" t="s">
        <v>258</v>
      </c>
      <c r="BM172" t="s">
        <v>922</v>
      </c>
      <c r="CB172">
        <v>10</v>
      </c>
    </row>
    <row r="173" spans="2:80" x14ac:dyDescent="0.25">
      <c r="C173" s="20"/>
      <c r="D173">
        <v>37</v>
      </c>
      <c r="J173" s="16"/>
      <c r="K173" s="21"/>
      <c r="L173" s="16"/>
      <c r="M173" s="16"/>
      <c r="N173" s="21"/>
      <c r="O173" s="16"/>
      <c r="P173" s="16"/>
      <c r="Q173" s="16"/>
      <c r="R173" s="1">
        <v>47</v>
      </c>
      <c r="S173" s="1" t="s">
        <v>937</v>
      </c>
      <c r="T173" s="1" t="s">
        <v>1336</v>
      </c>
      <c r="V173" t="s">
        <v>285</v>
      </c>
      <c r="W173" s="16" t="s">
        <v>1356</v>
      </c>
      <c r="Z173" s="3" t="s">
        <v>831</v>
      </c>
      <c r="AC173" s="5" t="s">
        <v>1357</v>
      </c>
      <c r="AD173" s="3" t="s">
        <v>1358</v>
      </c>
      <c r="AE173" s="3" t="s">
        <v>1358</v>
      </c>
      <c r="AF173" s="3" t="s">
        <v>1142</v>
      </c>
      <c r="AG173" t="s">
        <v>409</v>
      </c>
      <c r="AH173" s="31" t="s">
        <v>1359</v>
      </c>
      <c r="AI173" s="10" t="s">
        <v>1359</v>
      </c>
      <c r="AK173" s="31" t="s">
        <v>1360</v>
      </c>
      <c r="AM173" s="31" t="s">
        <v>1361</v>
      </c>
      <c r="AO173" t="s">
        <v>461</v>
      </c>
      <c r="AP173" t="s">
        <v>1362</v>
      </c>
      <c r="AQ173" t="s">
        <v>1362</v>
      </c>
      <c r="AR173" t="s">
        <v>1362</v>
      </c>
      <c r="AS173" t="s">
        <v>1362</v>
      </c>
      <c r="AT173" t="s">
        <v>1362</v>
      </c>
      <c r="AU173" t="s">
        <v>1362</v>
      </c>
      <c r="AV173" t="s">
        <v>1363</v>
      </c>
      <c r="AW173" t="s">
        <v>1364</v>
      </c>
      <c r="BF173" t="s">
        <v>891</v>
      </c>
      <c r="BH173" t="s">
        <v>604</v>
      </c>
      <c r="BJ173" t="s">
        <v>270</v>
      </c>
      <c r="BM173" t="s">
        <v>1183</v>
      </c>
      <c r="CB173">
        <v>20</v>
      </c>
    </row>
    <row r="174" spans="2:80" x14ac:dyDescent="0.25">
      <c r="C174" s="20"/>
      <c r="D174">
        <v>35</v>
      </c>
      <c r="J174" s="16"/>
      <c r="K174" s="21"/>
      <c r="L174" s="16"/>
      <c r="M174" s="16"/>
      <c r="N174" s="21"/>
      <c r="O174" s="16"/>
      <c r="P174" s="16"/>
      <c r="Q174" s="16"/>
      <c r="R174" s="1">
        <v>46</v>
      </c>
      <c r="S174" s="1" t="s">
        <v>437</v>
      </c>
      <c r="T174" s="1" t="s">
        <v>1346</v>
      </c>
      <c r="V174" t="s">
        <v>285</v>
      </c>
      <c r="W174" s="16" t="s">
        <v>1365</v>
      </c>
      <c r="Z174" s="3" t="s">
        <v>840</v>
      </c>
      <c r="AC174" s="5" t="s">
        <v>1366</v>
      </c>
      <c r="AD174" s="3" t="s">
        <v>761</v>
      </c>
      <c r="AE174" s="3" t="s">
        <v>761</v>
      </c>
      <c r="AF174" s="3" t="s">
        <v>1130</v>
      </c>
      <c r="AG174" t="s">
        <v>1367</v>
      </c>
      <c r="AH174" s="31" t="s">
        <v>1368</v>
      </c>
      <c r="AI174" s="10" t="s">
        <v>1368</v>
      </c>
      <c r="AK174" s="31" t="s">
        <v>1369</v>
      </c>
      <c r="AM174" s="31" t="s">
        <v>1370</v>
      </c>
      <c r="AO174" t="s">
        <v>472</v>
      </c>
      <c r="AP174" t="s">
        <v>1371</v>
      </c>
      <c r="AQ174" t="s">
        <v>1371</v>
      </c>
      <c r="AR174" t="s">
        <v>1371</v>
      </c>
      <c r="AS174" t="s">
        <v>1371</v>
      </c>
      <c r="AT174" t="s">
        <v>1371</v>
      </c>
      <c r="AU174" t="s">
        <v>1371</v>
      </c>
      <c r="AV174" t="s">
        <v>1372</v>
      </c>
      <c r="BF174" t="s">
        <v>885</v>
      </c>
      <c r="BH174" t="s">
        <v>402</v>
      </c>
      <c r="BJ174" t="s">
        <v>279</v>
      </c>
      <c r="BN174" t="s">
        <v>1373</v>
      </c>
      <c r="CB174">
        <v>21</v>
      </c>
    </row>
    <row r="175" spans="2:80" x14ac:dyDescent="0.25">
      <c r="B175">
        <v>50</v>
      </c>
      <c r="C175" s="20"/>
      <c r="J175" s="16"/>
      <c r="K175" s="21"/>
      <c r="L175" s="16"/>
      <c r="M175" s="16"/>
      <c r="N175" s="21"/>
      <c r="O175" s="16"/>
      <c r="P175" s="16"/>
      <c r="Q175" s="16"/>
      <c r="R175"/>
      <c r="S175"/>
      <c r="T175" t="s">
        <v>758</v>
      </c>
      <c r="V175" t="s">
        <v>285</v>
      </c>
      <c r="W175" s="16" t="s">
        <v>1374</v>
      </c>
      <c r="AB175" s="5" t="s">
        <v>1375</v>
      </c>
      <c r="AC175" s="5" t="s">
        <v>1375</v>
      </c>
      <c r="AI175" s="10" t="s">
        <v>1376</v>
      </c>
      <c r="BF175" t="s">
        <v>1377</v>
      </c>
      <c r="BM175" t="s">
        <v>806</v>
      </c>
      <c r="CB175">
        <v>68</v>
      </c>
    </row>
    <row r="176" spans="2:80" x14ac:dyDescent="0.25">
      <c r="B176">
        <v>56</v>
      </c>
      <c r="C176" s="20"/>
      <c r="J176" s="16"/>
      <c r="K176" s="21"/>
      <c r="L176" s="16"/>
      <c r="M176" s="16"/>
      <c r="N176" s="21"/>
      <c r="O176" s="16"/>
      <c r="P176" s="16"/>
      <c r="Q176" s="16"/>
      <c r="R176"/>
      <c r="S176"/>
      <c r="T176" t="s">
        <v>607</v>
      </c>
      <c r="V176" t="s">
        <v>285</v>
      </c>
      <c r="W176" s="16" t="s">
        <v>1378</v>
      </c>
      <c r="AB176" s="5" t="s">
        <v>1379</v>
      </c>
      <c r="AC176" s="5" t="s">
        <v>1379</v>
      </c>
      <c r="AI176" s="10" t="s">
        <v>1380</v>
      </c>
      <c r="BF176" t="s">
        <v>318</v>
      </c>
      <c r="BM176" t="s">
        <v>548</v>
      </c>
      <c r="CB176">
        <v>36</v>
      </c>
    </row>
    <row r="177" spans="2:80" x14ac:dyDescent="0.25">
      <c r="B177">
        <v>58</v>
      </c>
      <c r="C177" s="20"/>
      <c r="J177" s="16"/>
      <c r="K177" s="21"/>
      <c r="L177" s="16"/>
      <c r="M177" s="16"/>
      <c r="N177" s="21"/>
      <c r="O177" s="16"/>
      <c r="P177" s="16"/>
      <c r="Q177" s="16"/>
      <c r="R177"/>
      <c r="S177"/>
      <c r="T177" t="s">
        <v>1032</v>
      </c>
      <c r="V177" t="s">
        <v>285</v>
      </c>
      <c r="W177" s="16" t="s">
        <v>1381</v>
      </c>
      <c r="AB177" s="5" t="s">
        <v>1382</v>
      </c>
      <c r="AC177" s="5" t="s">
        <v>1382</v>
      </c>
      <c r="AI177" s="10" t="s">
        <v>1383</v>
      </c>
      <c r="BF177" t="s">
        <v>534</v>
      </c>
      <c r="BM177" t="s">
        <v>560</v>
      </c>
      <c r="CB177">
        <v>52</v>
      </c>
    </row>
    <row r="178" spans="2:80" x14ac:dyDescent="0.25">
      <c r="B178">
        <v>52</v>
      </c>
      <c r="C178" s="20"/>
      <c r="J178" s="16"/>
      <c r="K178" s="21"/>
      <c r="L178" s="16"/>
      <c r="M178" s="16"/>
      <c r="N178" s="21"/>
      <c r="O178" s="16"/>
      <c r="P178" s="16"/>
      <c r="Q178" s="16"/>
      <c r="R178"/>
      <c r="S178"/>
      <c r="T178" t="s">
        <v>1115</v>
      </c>
      <c r="V178" t="s">
        <v>285</v>
      </c>
      <c r="W178" s="16" t="s">
        <v>1384</v>
      </c>
      <c r="AB178" s="5" t="s">
        <v>1385</v>
      </c>
      <c r="AC178" s="5" t="s">
        <v>1385</v>
      </c>
      <c r="AI178" s="10" t="s">
        <v>1386</v>
      </c>
      <c r="BF178" t="s">
        <v>1387</v>
      </c>
      <c r="BM178" t="s">
        <v>465</v>
      </c>
      <c r="BO178" t="s">
        <v>435</v>
      </c>
      <c r="CB178">
        <v>69</v>
      </c>
    </row>
    <row r="179" spans="2:80" x14ac:dyDescent="0.25">
      <c r="B179">
        <v>16</v>
      </c>
      <c r="C179" s="20"/>
      <c r="J179" s="16"/>
      <c r="K179" s="21"/>
      <c r="L179" s="16"/>
      <c r="M179" s="16"/>
      <c r="N179" s="21"/>
      <c r="O179" s="16"/>
      <c r="P179" s="16"/>
      <c r="Q179" s="16"/>
      <c r="R179"/>
      <c r="S179"/>
      <c r="T179" t="s">
        <v>1388</v>
      </c>
      <c r="V179" t="s">
        <v>285</v>
      </c>
      <c r="W179" s="16" t="s">
        <v>1389</v>
      </c>
      <c r="AB179" s="5" t="s">
        <v>1390</v>
      </c>
      <c r="AC179" s="5" t="s">
        <v>1390</v>
      </c>
      <c r="AQ179" t="s">
        <v>1391</v>
      </c>
      <c r="AS179" t="s">
        <v>1391</v>
      </c>
      <c r="AT179" t="s">
        <v>569</v>
      </c>
      <c r="AV179" t="s">
        <v>1392</v>
      </c>
      <c r="BF179" t="s">
        <v>389</v>
      </c>
      <c r="BM179" t="s">
        <v>581</v>
      </c>
      <c r="CB179">
        <v>62</v>
      </c>
    </row>
    <row r="180" spans="2:80" x14ac:dyDescent="0.25">
      <c r="B180">
        <v>19</v>
      </c>
      <c r="C180" s="20"/>
      <c r="J180" s="16"/>
      <c r="K180" s="21"/>
      <c r="L180" s="16"/>
      <c r="M180" s="16"/>
      <c r="N180" s="21"/>
      <c r="O180" s="16"/>
      <c r="P180" s="16"/>
      <c r="Q180" s="16"/>
      <c r="R180"/>
      <c r="S180"/>
      <c r="T180" t="s">
        <v>1393</v>
      </c>
      <c r="V180" t="s">
        <v>285</v>
      </c>
      <c r="W180" s="16" t="s">
        <v>1394</v>
      </c>
      <c r="AB180" s="5" t="s">
        <v>1395</v>
      </c>
      <c r="AC180" s="5" t="s">
        <v>1395</v>
      </c>
      <c r="AQ180" t="s">
        <v>1396</v>
      </c>
      <c r="BF180" t="s">
        <v>363</v>
      </c>
      <c r="BM180" t="s">
        <v>593</v>
      </c>
      <c r="CB180">
        <v>6</v>
      </c>
    </row>
    <row r="181" spans="2:80" x14ac:dyDescent="0.25">
      <c r="B181" s="30"/>
      <c r="C181" s="30"/>
      <c r="D181" s="30"/>
      <c r="E181" s="27" t="s">
        <v>1397</v>
      </c>
      <c r="J181" t="s">
        <v>1398</v>
      </c>
      <c r="K181" s="21"/>
      <c r="L181" s="16"/>
      <c r="M181" s="16"/>
      <c r="N181" s="21"/>
      <c r="O181" s="16"/>
      <c r="P181" s="16" t="s">
        <v>296</v>
      </c>
      <c r="Q181" s="16"/>
      <c r="R181">
        <v>112</v>
      </c>
      <c r="S181" t="s">
        <v>901</v>
      </c>
      <c r="T181" t="s">
        <v>1399</v>
      </c>
      <c r="V181" t="s">
        <v>285</v>
      </c>
      <c r="W181" s="16" t="s">
        <v>1400</v>
      </c>
      <c r="X181" t="s">
        <v>1398</v>
      </c>
      <c r="Y181" s="27" t="s">
        <v>1398</v>
      </c>
      <c r="AB181" s="5" t="s">
        <v>1401</v>
      </c>
      <c r="AC181" s="5" t="s">
        <v>1401</v>
      </c>
      <c r="AD181" s="3" t="s">
        <v>1339</v>
      </c>
      <c r="AE181" s="3" t="s">
        <v>1339</v>
      </c>
      <c r="AQ181" t="s">
        <v>1402</v>
      </c>
      <c r="AS181" t="s">
        <v>1402</v>
      </c>
      <c r="AT181" t="s">
        <v>934</v>
      </c>
      <c r="AV181" t="s">
        <v>1403</v>
      </c>
      <c r="BB181" t="s">
        <v>1404</v>
      </c>
      <c r="BE181" t="s">
        <v>464</v>
      </c>
      <c r="BF181" t="s">
        <v>651</v>
      </c>
      <c r="BJ181" t="s">
        <v>233</v>
      </c>
      <c r="BM181" t="s">
        <v>1405</v>
      </c>
      <c r="BS181" t="s">
        <v>1398</v>
      </c>
      <c r="BT181" t="s">
        <v>1398</v>
      </c>
      <c r="BU181" t="s">
        <v>1398</v>
      </c>
      <c r="CB181">
        <v>86</v>
      </c>
    </row>
    <row r="182" spans="2:80" x14ac:dyDescent="0.25">
      <c r="B182" s="30"/>
      <c r="C182" s="30"/>
      <c r="D182" s="30"/>
      <c r="E182" s="27" t="s">
        <v>1406</v>
      </c>
      <c r="J182" t="s">
        <v>1407</v>
      </c>
      <c r="K182" s="21"/>
      <c r="L182" s="16"/>
      <c r="M182" s="16"/>
      <c r="N182" s="21"/>
      <c r="O182" s="16"/>
      <c r="P182" s="16" t="s">
        <v>296</v>
      </c>
      <c r="Q182" s="16"/>
      <c r="R182">
        <v>111</v>
      </c>
      <c r="S182" t="s">
        <v>1408</v>
      </c>
      <c r="T182" t="s">
        <v>906</v>
      </c>
      <c r="V182" t="s">
        <v>285</v>
      </c>
      <c r="W182" s="16" t="s">
        <v>1409</v>
      </c>
      <c r="X182" t="s">
        <v>1407</v>
      </c>
      <c r="Y182" s="27" t="s">
        <v>1407</v>
      </c>
      <c r="AB182" s="5" t="s">
        <v>1410</v>
      </c>
      <c r="AC182" s="5" t="s">
        <v>1410</v>
      </c>
      <c r="AD182" s="3" t="s">
        <v>1411</v>
      </c>
      <c r="AE182" s="3" t="s">
        <v>1411</v>
      </c>
      <c r="AQ182" t="s">
        <v>1412</v>
      </c>
      <c r="BB182" t="s">
        <v>1413</v>
      </c>
      <c r="BE182" t="s">
        <v>475</v>
      </c>
      <c r="BF182" t="s">
        <v>637</v>
      </c>
      <c r="BJ182" t="s">
        <v>244</v>
      </c>
      <c r="BM182" t="s">
        <v>1414</v>
      </c>
      <c r="BS182" t="s">
        <v>1407</v>
      </c>
      <c r="BT182" t="s">
        <v>1407</v>
      </c>
      <c r="BU182" t="s">
        <v>1407</v>
      </c>
      <c r="CB182">
        <v>100</v>
      </c>
    </row>
    <row r="183" spans="2:80" x14ac:dyDescent="0.25">
      <c r="B183" s="30"/>
      <c r="C183" s="30"/>
      <c r="D183" s="30"/>
      <c r="E183" s="27" t="s">
        <v>1415</v>
      </c>
      <c r="J183" t="s">
        <v>1416</v>
      </c>
      <c r="K183" s="21"/>
      <c r="L183" s="16"/>
      <c r="M183" s="16"/>
      <c r="N183" s="21"/>
      <c r="O183" s="16"/>
      <c r="P183" s="16" t="s">
        <v>296</v>
      </c>
      <c r="Q183" s="16"/>
      <c r="R183">
        <v>110</v>
      </c>
      <c r="S183" t="s">
        <v>1417</v>
      </c>
      <c r="T183" t="s">
        <v>1418</v>
      </c>
      <c r="V183" t="s">
        <v>285</v>
      </c>
      <c r="W183" s="16" t="s">
        <v>1419</v>
      </c>
      <c r="X183" t="s">
        <v>1416</v>
      </c>
      <c r="Y183" s="27" t="s">
        <v>1416</v>
      </c>
      <c r="AD183" s="3" t="s">
        <v>1420</v>
      </c>
      <c r="AE183" s="3" t="s">
        <v>1420</v>
      </c>
      <c r="AP183" t="s">
        <v>1421</v>
      </c>
      <c r="AQ183" t="s">
        <v>1421</v>
      </c>
      <c r="AR183" t="s">
        <v>1421</v>
      </c>
      <c r="AS183" t="s">
        <v>1421</v>
      </c>
      <c r="AT183" t="s">
        <v>1421</v>
      </c>
      <c r="AU183" t="s">
        <v>1421</v>
      </c>
      <c r="AV183" t="s">
        <v>1422</v>
      </c>
      <c r="AW183" t="s">
        <v>1423</v>
      </c>
      <c r="BB183" t="s">
        <v>1424</v>
      </c>
      <c r="BE183" t="s">
        <v>1425</v>
      </c>
      <c r="BF183" t="s">
        <v>625</v>
      </c>
      <c r="BJ183" t="s">
        <v>258</v>
      </c>
      <c r="BM183" t="s">
        <v>1426</v>
      </c>
      <c r="BS183" t="s">
        <v>1416</v>
      </c>
      <c r="BT183" t="s">
        <v>1416</v>
      </c>
      <c r="BU183" t="s">
        <v>1416</v>
      </c>
      <c r="CB183">
        <v>75</v>
      </c>
    </row>
    <row r="184" spans="2:80" x14ac:dyDescent="0.25">
      <c r="B184" s="30"/>
      <c r="C184" s="30"/>
      <c r="D184" s="30"/>
      <c r="E184" s="27" t="s">
        <v>1427</v>
      </c>
      <c r="J184" t="s">
        <v>1428</v>
      </c>
      <c r="K184" s="21"/>
      <c r="L184" s="16"/>
      <c r="M184" s="16"/>
      <c r="N184" s="21"/>
      <c r="O184" s="16"/>
      <c r="P184" s="16" t="s">
        <v>296</v>
      </c>
      <c r="Q184" s="16"/>
      <c r="R184">
        <v>109</v>
      </c>
      <c r="S184" t="s">
        <v>1429</v>
      </c>
      <c r="T184" t="s">
        <v>1417</v>
      </c>
      <c r="V184" t="s">
        <v>285</v>
      </c>
      <c r="W184" s="16" t="s">
        <v>1430</v>
      </c>
      <c r="X184" t="s">
        <v>1428</v>
      </c>
      <c r="Y184" s="27" t="s">
        <v>1428</v>
      </c>
      <c r="AE184" s="3" t="s">
        <v>1431</v>
      </c>
      <c r="AP184" t="s">
        <v>1432</v>
      </c>
      <c r="AQ184" t="s">
        <v>1432</v>
      </c>
      <c r="AR184" t="s">
        <v>1432</v>
      </c>
      <c r="AS184" t="s">
        <v>1432</v>
      </c>
      <c r="AT184" t="s">
        <v>1432</v>
      </c>
      <c r="AU184" t="s">
        <v>1432</v>
      </c>
      <c r="AV184" t="s">
        <v>1433</v>
      </c>
      <c r="AW184" t="s">
        <v>1434</v>
      </c>
      <c r="BB184" t="s">
        <v>1435</v>
      </c>
      <c r="BE184" t="s">
        <v>1436</v>
      </c>
      <c r="BF184" t="s">
        <v>617</v>
      </c>
      <c r="BJ184" t="s">
        <v>1437</v>
      </c>
      <c r="BM184" t="s">
        <v>1438</v>
      </c>
      <c r="BS184" t="s">
        <v>1428</v>
      </c>
      <c r="BT184" t="s">
        <v>1428</v>
      </c>
      <c r="BU184" t="s">
        <v>1428</v>
      </c>
      <c r="CB184">
        <v>87</v>
      </c>
    </row>
    <row r="185" spans="2:80" x14ac:dyDescent="0.25">
      <c r="B185" s="30"/>
      <c r="C185" s="30"/>
      <c r="D185" s="30"/>
      <c r="E185" s="27" t="s">
        <v>1439</v>
      </c>
      <c r="J185" t="s">
        <v>1440</v>
      </c>
      <c r="K185" s="21"/>
      <c r="L185" s="16"/>
      <c r="M185" s="16"/>
      <c r="N185" s="21"/>
      <c r="O185" s="16"/>
      <c r="P185" s="16" t="s">
        <v>296</v>
      </c>
      <c r="Q185" s="16"/>
      <c r="R185">
        <v>108</v>
      </c>
      <c r="S185" t="s">
        <v>1399</v>
      </c>
      <c r="T185" t="s">
        <v>1082</v>
      </c>
      <c r="V185" t="s">
        <v>285</v>
      </c>
      <c r="W185" s="16" t="s">
        <v>1441</v>
      </c>
      <c r="X185" t="s">
        <v>1442</v>
      </c>
      <c r="Y185" s="27" t="s">
        <v>1440</v>
      </c>
      <c r="AE185" s="3" t="s">
        <v>1443</v>
      </c>
      <c r="AR185" t="s">
        <v>1444</v>
      </c>
      <c r="AS185" t="s">
        <v>1444</v>
      </c>
      <c r="AT185" t="s">
        <v>767</v>
      </c>
      <c r="AV185" t="s">
        <v>1444</v>
      </c>
      <c r="BB185" s="31" t="s">
        <v>1445</v>
      </c>
      <c r="BE185" t="s">
        <v>1446</v>
      </c>
      <c r="BF185" t="s">
        <v>415</v>
      </c>
      <c r="BJ185" t="s">
        <v>279</v>
      </c>
      <c r="BM185" t="s">
        <v>1447</v>
      </c>
      <c r="BS185" t="s">
        <v>1442</v>
      </c>
      <c r="BT185" t="s">
        <v>1442</v>
      </c>
      <c r="CB185">
        <v>42</v>
      </c>
    </row>
    <row r="186" spans="2:80" x14ac:dyDescent="0.25">
      <c r="B186" s="30"/>
      <c r="C186" s="30"/>
      <c r="D186" s="30"/>
      <c r="E186" s="27" t="s">
        <v>1448</v>
      </c>
      <c r="J186" s="16" t="s">
        <v>1449</v>
      </c>
      <c r="K186" s="21"/>
      <c r="L186" s="16"/>
      <c r="M186" s="16"/>
      <c r="N186" s="21"/>
      <c r="O186" s="16"/>
      <c r="P186" s="16" t="s">
        <v>296</v>
      </c>
      <c r="Q186" s="16"/>
      <c r="R186">
        <v>107</v>
      </c>
      <c r="S186" t="s">
        <v>1450</v>
      </c>
      <c r="T186" t="s">
        <v>1408</v>
      </c>
      <c r="V186" t="s">
        <v>285</v>
      </c>
      <c r="W186" s="16" t="s">
        <v>1451</v>
      </c>
      <c r="X186" t="s">
        <v>1449</v>
      </c>
      <c r="Y186" s="27" t="s">
        <v>1449</v>
      </c>
      <c r="AE186" s="3" t="s">
        <v>633</v>
      </c>
      <c r="AF186" s="3" t="s">
        <v>669</v>
      </c>
      <c r="AQ186" t="s">
        <v>1452</v>
      </c>
      <c r="AS186" t="s">
        <v>1452</v>
      </c>
      <c r="AT186" t="s">
        <v>767</v>
      </c>
      <c r="AV186" t="s">
        <v>1453</v>
      </c>
      <c r="BB186" s="31" t="s">
        <v>1454</v>
      </c>
      <c r="BD186" t="s">
        <v>362</v>
      </c>
      <c r="BF186" t="s">
        <v>432</v>
      </c>
      <c r="BM186" t="s">
        <v>1455</v>
      </c>
      <c r="BR186" t="s">
        <v>1456</v>
      </c>
      <c r="BS186" t="s">
        <v>1457</v>
      </c>
      <c r="BT186" t="s">
        <v>1456</v>
      </c>
      <c r="BU186" t="s">
        <v>1456</v>
      </c>
      <c r="CB186">
        <v>88</v>
      </c>
    </row>
    <row r="187" spans="2:80" x14ac:dyDescent="0.25">
      <c r="B187" s="30"/>
      <c r="C187" s="30"/>
      <c r="D187" s="30"/>
      <c r="E187" s="27" t="s">
        <v>1458</v>
      </c>
      <c r="J187" s="16" t="s">
        <v>1459</v>
      </c>
      <c r="K187" s="21"/>
      <c r="L187" s="16"/>
      <c r="M187" s="16"/>
      <c r="N187" s="21"/>
      <c r="O187" s="16"/>
      <c r="P187" s="16" t="s">
        <v>296</v>
      </c>
      <c r="Q187" s="16"/>
      <c r="R187">
        <v>106</v>
      </c>
      <c r="S187" t="s">
        <v>1418</v>
      </c>
      <c r="T187" t="s">
        <v>1056</v>
      </c>
      <c r="V187" t="s">
        <v>285</v>
      </c>
      <c r="W187" s="16" t="s">
        <v>1460</v>
      </c>
      <c r="X187" t="s">
        <v>1459</v>
      </c>
      <c r="Y187" s="27" t="s">
        <v>1459</v>
      </c>
      <c r="AE187" s="3" t="s">
        <v>621</v>
      </c>
      <c r="AF187" s="3" t="s">
        <v>880</v>
      </c>
      <c r="AQ187" t="s">
        <v>1461</v>
      </c>
      <c r="BB187" s="31" t="s">
        <v>1462</v>
      </c>
      <c r="BD187" t="s">
        <v>349</v>
      </c>
      <c r="BF187" t="s">
        <v>570</v>
      </c>
      <c r="BM187" t="s">
        <v>1463</v>
      </c>
      <c r="BQ187" t="s">
        <v>1464</v>
      </c>
      <c r="BR187" t="s">
        <v>1464</v>
      </c>
      <c r="BS187" t="s">
        <v>1464</v>
      </c>
      <c r="BT187" t="s">
        <v>1464</v>
      </c>
      <c r="BU187" t="s">
        <v>1464</v>
      </c>
      <c r="CB187">
        <v>25</v>
      </c>
    </row>
    <row r="188" spans="2:80" x14ac:dyDescent="0.25">
      <c r="B188">
        <v>9</v>
      </c>
      <c r="C188" s="20"/>
      <c r="J188" s="16"/>
      <c r="K188" s="21"/>
      <c r="L188" s="21"/>
      <c r="M188" s="21"/>
      <c r="N188" s="21"/>
      <c r="O188" s="21"/>
      <c r="P188" s="21"/>
      <c r="Q188" s="16"/>
      <c r="R188">
        <v>105</v>
      </c>
      <c r="S188" t="s">
        <v>1465</v>
      </c>
      <c r="T188" t="s">
        <v>1429</v>
      </c>
      <c r="V188" t="s">
        <v>285</v>
      </c>
      <c r="W188" s="16" t="s">
        <v>1466</v>
      </c>
      <c r="AE188" s="3" t="s">
        <v>609</v>
      </c>
      <c r="AF188" s="3" t="s">
        <v>871</v>
      </c>
      <c r="AQ188" t="s">
        <v>1467</v>
      </c>
      <c r="BB188" s="31" t="s">
        <v>1468</v>
      </c>
      <c r="BD188" t="s">
        <v>200</v>
      </c>
      <c r="BF188" t="s">
        <v>579</v>
      </c>
      <c r="BK188" t="s">
        <v>466</v>
      </c>
      <c r="BM188" t="s">
        <v>1469</v>
      </c>
      <c r="BQ188" t="s">
        <v>1470</v>
      </c>
      <c r="BR188" t="s">
        <v>1470</v>
      </c>
      <c r="BS188" t="s">
        <v>1470</v>
      </c>
      <c r="BT188" t="s">
        <v>1470</v>
      </c>
      <c r="BU188" t="s">
        <v>1470</v>
      </c>
      <c r="CB188">
        <v>89</v>
      </c>
    </row>
    <row r="189" spans="2:80" x14ac:dyDescent="0.25">
      <c r="B189" s="30"/>
      <c r="C189" s="30"/>
      <c r="D189" s="30"/>
      <c r="E189" s="27" t="s">
        <v>1471</v>
      </c>
      <c r="J189" s="16" t="s">
        <v>1472</v>
      </c>
      <c r="K189" s="21"/>
      <c r="L189" s="16"/>
      <c r="M189" s="16"/>
      <c r="N189" s="21"/>
      <c r="O189" s="16"/>
      <c r="P189" s="16" t="s">
        <v>296</v>
      </c>
      <c r="Q189" s="16"/>
      <c r="R189">
        <v>100</v>
      </c>
      <c r="S189" t="s">
        <v>1083</v>
      </c>
      <c r="T189" t="s">
        <v>1450</v>
      </c>
      <c r="V189" t="s">
        <v>285</v>
      </c>
      <c r="W189" s="16" t="s">
        <v>1473</v>
      </c>
      <c r="X189" t="s">
        <v>1472</v>
      </c>
      <c r="Y189" s="27" t="s">
        <v>1472</v>
      </c>
      <c r="AB189" s="5" t="s">
        <v>1474</v>
      </c>
      <c r="AC189" s="5" t="s">
        <v>1474</v>
      </c>
      <c r="AP189" t="s">
        <v>1475</v>
      </c>
      <c r="AQ189" t="s">
        <v>1475</v>
      </c>
      <c r="AR189" t="s">
        <v>1475</v>
      </c>
      <c r="AS189" t="s">
        <v>1475</v>
      </c>
      <c r="AT189" t="s">
        <v>1475</v>
      </c>
      <c r="AU189" t="s">
        <v>1475</v>
      </c>
      <c r="AV189" t="s">
        <v>1476</v>
      </c>
      <c r="AW189" t="s">
        <v>1477</v>
      </c>
      <c r="BD189" t="s">
        <v>362</v>
      </c>
      <c r="BF189" t="s">
        <v>603</v>
      </c>
      <c r="BM189" t="s">
        <v>1478</v>
      </c>
      <c r="BQ189" t="s">
        <v>1479</v>
      </c>
      <c r="BR189" t="s">
        <v>1479</v>
      </c>
      <c r="BS189" t="s">
        <v>1479</v>
      </c>
      <c r="BT189" t="s">
        <v>1479</v>
      </c>
      <c r="BU189" t="s">
        <v>1479</v>
      </c>
      <c r="CB189">
        <v>77</v>
      </c>
    </row>
    <row r="190" spans="2:80" x14ac:dyDescent="0.25">
      <c r="B190" s="30"/>
      <c r="C190" s="30"/>
      <c r="D190" s="30"/>
      <c r="E190" s="27" t="s">
        <v>1480</v>
      </c>
      <c r="J190" s="16" t="s">
        <v>1481</v>
      </c>
      <c r="K190" s="21"/>
      <c r="L190" s="16"/>
      <c r="M190" s="16"/>
      <c r="N190" s="21"/>
      <c r="O190" s="16"/>
      <c r="P190" s="16" t="s">
        <v>296</v>
      </c>
      <c r="Q190" s="16"/>
      <c r="R190">
        <v>101</v>
      </c>
      <c r="S190" t="s">
        <v>1057</v>
      </c>
      <c r="T190" t="s">
        <v>1465</v>
      </c>
      <c r="V190" t="s">
        <v>285</v>
      </c>
      <c r="W190" s="16" t="s">
        <v>1482</v>
      </c>
      <c r="X190" t="s">
        <v>1481</v>
      </c>
      <c r="Y190" s="27" t="s">
        <v>1481</v>
      </c>
      <c r="AB190" s="5" t="s">
        <v>1483</v>
      </c>
      <c r="AC190" s="5" t="s">
        <v>1483</v>
      </c>
      <c r="AP190" t="s">
        <v>1484</v>
      </c>
      <c r="AQ190" t="s">
        <v>1484</v>
      </c>
      <c r="AR190" t="s">
        <v>1484</v>
      </c>
      <c r="AS190" t="s">
        <v>1484</v>
      </c>
      <c r="AT190" t="s">
        <v>1484</v>
      </c>
      <c r="AU190" t="s">
        <v>1484</v>
      </c>
      <c r="AV190" t="s">
        <v>1485</v>
      </c>
      <c r="AW190" t="s">
        <v>1486</v>
      </c>
      <c r="BF190" t="s">
        <v>591</v>
      </c>
      <c r="BM190" t="s">
        <v>1487</v>
      </c>
      <c r="BQ190" t="s">
        <v>1488</v>
      </c>
      <c r="BR190" t="s">
        <v>1488</v>
      </c>
      <c r="BS190" t="s">
        <v>1488</v>
      </c>
      <c r="BT190" t="s">
        <v>1488</v>
      </c>
      <c r="BU190" t="s">
        <v>1488</v>
      </c>
      <c r="CB190">
        <v>78</v>
      </c>
    </row>
    <row r="191" spans="2:80" x14ac:dyDescent="0.25">
      <c r="B191" s="30"/>
      <c r="C191" s="30"/>
      <c r="D191" s="30"/>
      <c r="E191" s="27" t="s">
        <v>1489</v>
      </c>
      <c r="J191" s="16" t="s">
        <v>1490</v>
      </c>
      <c r="K191" s="21"/>
      <c r="L191" s="16"/>
      <c r="M191" s="16"/>
      <c r="N191" s="21"/>
      <c r="O191" s="16"/>
      <c r="P191" s="16" t="s">
        <v>296</v>
      </c>
      <c r="Q191" s="16"/>
      <c r="R191">
        <v>102</v>
      </c>
      <c r="S191" t="s">
        <v>1491</v>
      </c>
      <c r="T191" t="s">
        <v>1491</v>
      </c>
      <c r="V191" t="s">
        <v>285</v>
      </c>
      <c r="W191" s="16" t="s">
        <v>1492</v>
      </c>
      <c r="X191" t="s">
        <v>1490</v>
      </c>
      <c r="Y191" s="27" t="s">
        <v>1490</v>
      </c>
      <c r="AB191" s="5" t="s">
        <v>1493</v>
      </c>
      <c r="AC191" s="5" t="s">
        <v>1493</v>
      </c>
      <c r="AE191" s="3" t="s">
        <v>574</v>
      </c>
      <c r="AF191" s="3" t="s">
        <v>1130</v>
      </c>
      <c r="AR191" t="s">
        <v>1494</v>
      </c>
      <c r="AS191" t="s">
        <v>1494</v>
      </c>
      <c r="AT191" t="s">
        <v>934</v>
      </c>
      <c r="AV191" t="s">
        <v>1494</v>
      </c>
      <c r="BF191" t="s">
        <v>1495</v>
      </c>
      <c r="BM191" t="s">
        <v>1496</v>
      </c>
      <c r="BQ191" t="s">
        <v>1497</v>
      </c>
      <c r="BR191" t="s">
        <v>1497</v>
      </c>
      <c r="BS191" t="s">
        <v>1497</v>
      </c>
      <c r="BT191" t="s">
        <v>1497</v>
      </c>
      <c r="BU191" t="s">
        <v>1497</v>
      </c>
      <c r="CB191">
        <v>76</v>
      </c>
    </row>
    <row r="192" spans="2:80" x14ac:dyDescent="0.25">
      <c r="B192" s="30"/>
      <c r="C192" s="30"/>
      <c r="D192" s="30"/>
      <c r="E192" s="27" t="s">
        <v>1498</v>
      </c>
      <c r="J192" s="16" t="s">
        <v>1499</v>
      </c>
      <c r="K192" s="21"/>
      <c r="L192" s="16"/>
      <c r="M192" s="16"/>
      <c r="N192" s="21"/>
      <c r="O192" s="16"/>
      <c r="P192" s="16" t="s">
        <v>296</v>
      </c>
      <c r="Q192" s="16"/>
      <c r="R192">
        <v>88</v>
      </c>
      <c r="S192" t="s">
        <v>325</v>
      </c>
      <c r="T192" t="s">
        <v>324</v>
      </c>
      <c r="V192" t="s">
        <v>285</v>
      </c>
      <c r="W192" s="16" t="s">
        <v>1500</v>
      </c>
      <c r="X192" t="s">
        <v>1499</v>
      </c>
      <c r="Y192" s="27" t="s">
        <v>1499</v>
      </c>
      <c r="AR192" t="s">
        <v>1501</v>
      </c>
      <c r="AS192" t="s">
        <v>1501</v>
      </c>
      <c r="AT192" t="s">
        <v>182</v>
      </c>
      <c r="AV192" t="s">
        <v>1501</v>
      </c>
      <c r="BE192" t="s">
        <v>1436</v>
      </c>
      <c r="BF192" t="s">
        <v>715</v>
      </c>
      <c r="BM192" t="s">
        <v>1502</v>
      </c>
      <c r="BR192" t="s">
        <v>1503</v>
      </c>
      <c r="BT192" t="s">
        <v>1504</v>
      </c>
      <c r="BU192" t="s">
        <v>1504</v>
      </c>
      <c r="CB192">
        <v>16</v>
      </c>
    </row>
    <row r="193" spans="2:80" x14ac:dyDescent="0.25">
      <c r="B193" s="30"/>
      <c r="C193" s="30"/>
      <c r="D193" s="30"/>
      <c r="E193" s="27" t="s">
        <v>1505</v>
      </c>
      <c r="J193" s="16" t="s">
        <v>1506</v>
      </c>
      <c r="K193" s="21"/>
      <c r="L193" s="16"/>
      <c r="M193" s="16"/>
      <c r="N193" s="21"/>
      <c r="O193" s="16"/>
      <c r="P193" s="16" t="s">
        <v>296</v>
      </c>
      <c r="Q193" s="16"/>
      <c r="R193">
        <v>89</v>
      </c>
      <c r="S193" t="s">
        <v>1507</v>
      </c>
      <c r="T193" t="s">
        <v>1507</v>
      </c>
      <c r="V193" t="s">
        <v>285</v>
      </c>
      <c r="W193" s="16" t="s">
        <v>1508</v>
      </c>
      <c r="X193" t="s">
        <v>1506</v>
      </c>
      <c r="Y193" s="27" t="s">
        <v>1506</v>
      </c>
      <c r="AP193" t="s">
        <v>1509</v>
      </c>
      <c r="AQ193" t="s">
        <v>1509</v>
      </c>
      <c r="AR193" t="s">
        <v>1509</v>
      </c>
      <c r="AS193" t="s">
        <v>1509</v>
      </c>
      <c r="AT193" t="s">
        <v>1509</v>
      </c>
      <c r="AU193" t="s">
        <v>1509</v>
      </c>
      <c r="AV193" t="s">
        <v>1510</v>
      </c>
      <c r="AW193" t="s">
        <v>1511</v>
      </c>
      <c r="BE193" t="s">
        <v>1425</v>
      </c>
      <c r="BF193" t="s">
        <v>726</v>
      </c>
      <c r="BM193" t="s">
        <v>1512</v>
      </c>
      <c r="BR193" t="s">
        <v>1513</v>
      </c>
      <c r="BT193" t="s">
        <v>1514</v>
      </c>
      <c r="BU193" t="s">
        <v>1514</v>
      </c>
      <c r="CB193">
        <v>14</v>
      </c>
    </row>
    <row r="194" spans="2:80" x14ac:dyDescent="0.25">
      <c r="B194" s="30"/>
      <c r="C194" s="30"/>
      <c r="D194" s="30"/>
      <c r="E194" s="27" t="s">
        <v>1515</v>
      </c>
      <c r="J194" s="16" t="s">
        <v>1516</v>
      </c>
      <c r="K194" s="21"/>
      <c r="L194" s="16"/>
      <c r="M194" s="16"/>
      <c r="N194" s="21"/>
      <c r="O194" s="16"/>
      <c r="P194" s="16" t="s">
        <v>296</v>
      </c>
      <c r="Q194" s="16"/>
      <c r="R194">
        <v>90</v>
      </c>
      <c r="S194" t="s">
        <v>1517</v>
      </c>
      <c r="T194" t="s">
        <v>1517</v>
      </c>
      <c r="V194" t="s">
        <v>285</v>
      </c>
      <c r="W194" s="16" t="s">
        <v>1518</v>
      </c>
      <c r="X194" t="s">
        <v>1516</v>
      </c>
      <c r="Y194" s="27" t="s">
        <v>1516</v>
      </c>
      <c r="AQ194" t="s">
        <v>1519</v>
      </c>
      <c r="AS194" t="s">
        <v>1519</v>
      </c>
      <c r="AT194" t="s">
        <v>182</v>
      </c>
      <c r="AV194" t="s">
        <v>1520</v>
      </c>
      <c r="BE194" t="s">
        <v>475</v>
      </c>
      <c r="BF194" t="s">
        <v>292</v>
      </c>
      <c r="BM194" t="s">
        <v>1521</v>
      </c>
      <c r="BR194" t="s">
        <v>1522</v>
      </c>
      <c r="BT194" t="s">
        <v>572</v>
      </c>
      <c r="BU194" t="s">
        <v>572</v>
      </c>
      <c r="CB194">
        <v>27</v>
      </c>
    </row>
    <row r="195" spans="2:80" x14ac:dyDescent="0.25">
      <c r="B195" s="30"/>
      <c r="C195" s="30"/>
      <c r="D195" s="30"/>
      <c r="E195" s="27" t="s">
        <v>1523</v>
      </c>
      <c r="J195" s="16" t="s">
        <v>1524</v>
      </c>
      <c r="K195" s="21"/>
      <c r="L195" s="16"/>
      <c r="M195" s="16"/>
      <c r="N195" s="21"/>
      <c r="O195" s="16"/>
      <c r="P195" s="16" t="s">
        <v>296</v>
      </c>
      <c r="Q195" s="16"/>
      <c r="R195">
        <v>91</v>
      </c>
      <c r="S195" t="s">
        <v>1525</v>
      </c>
      <c r="T195" t="s">
        <v>1525</v>
      </c>
      <c r="V195" t="s">
        <v>285</v>
      </c>
      <c r="W195" s="16" t="s">
        <v>1526</v>
      </c>
      <c r="X195" t="s">
        <v>1524</v>
      </c>
      <c r="Y195" s="27" t="s">
        <v>1524</v>
      </c>
      <c r="AP195" t="s">
        <v>1527</v>
      </c>
      <c r="AQ195" t="s">
        <v>1527</v>
      </c>
      <c r="AR195" t="s">
        <v>1527</v>
      </c>
      <c r="AS195" t="s">
        <v>1527</v>
      </c>
      <c r="AT195" t="s">
        <v>1527</v>
      </c>
      <c r="AU195" t="s">
        <v>1527</v>
      </c>
      <c r="AV195" t="s">
        <v>1528</v>
      </c>
      <c r="AW195" t="s">
        <v>1529</v>
      </c>
      <c r="BE195" t="s">
        <v>464</v>
      </c>
      <c r="BF195" t="s">
        <v>288</v>
      </c>
      <c r="BM195" t="s">
        <v>1530</v>
      </c>
      <c r="BR195" t="s">
        <v>1531</v>
      </c>
      <c r="BT195" t="s">
        <v>595</v>
      </c>
      <c r="BU195" t="s">
        <v>595</v>
      </c>
      <c r="CB195">
        <v>45</v>
      </c>
    </row>
    <row r="196" spans="2:80" x14ac:dyDescent="0.25">
      <c r="B196" s="30"/>
      <c r="C196" s="30"/>
      <c r="D196" s="30"/>
      <c r="E196" s="27" t="s">
        <v>1532</v>
      </c>
      <c r="J196" s="16" t="s">
        <v>1533</v>
      </c>
      <c r="K196" s="21"/>
      <c r="L196" s="16"/>
      <c r="M196" s="16"/>
      <c r="N196" s="21"/>
      <c r="O196" s="16"/>
      <c r="P196" s="16" t="s">
        <v>173</v>
      </c>
      <c r="Q196" s="16"/>
      <c r="R196">
        <v>103</v>
      </c>
      <c r="S196" t="s">
        <v>1534</v>
      </c>
      <c r="T196" t="s">
        <v>1534</v>
      </c>
      <c r="V196" t="s">
        <v>285</v>
      </c>
      <c r="W196" s="16" t="s">
        <v>1535</v>
      </c>
      <c r="X196" t="s">
        <v>1533</v>
      </c>
      <c r="Y196" s="27" t="s">
        <v>1533</v>
      </c>
      <c r="AE196" s="3" t="s">
        <v>586</v>
      </c>
      <c r="AF196" s="3" t="s">
        <v>1142</v>
      </c>
      <c r="AQ196" t="s">
        <v>1536</v>
      </c>
      <c r="BF196" t="s">
        <v>579</v>
      </c>
      <c r="BM196" t="s">
        <v>144</v>
      </c>
      <c r="BQ196" t="s">
        <v>1537</v>
      </c>
      <c r="BR196" t="s">
        <v>1537</v>
      </c>
      <c r="BS196" t="s">
        <v>1537</v>
      </c>
      <c r="BT196" t="s">
        <v>1537</v>
      </c>
      <c r="BU196" t="s">
        <v>1537</v>
      </c>
      <c r="CB196">
        <v>58</v>
      </c>
    </row>
    <row r="197" spans="2:80" x14ac:dyDescent="0.25">
      <c r="C197" s="20"/>
      <c r="D197">
        <v>68</v>
      </c>
      <c r="J197" s="16"/>
      <c r="K197" s="21"/>
      <c r="L197" s="16"/>
      <c r="M197" s="16"/>
      <c r="N197" s="21"/>
      <c r="O197" s="16"/>
      <c r="P197" s="16"/>
      <c r="Q197" s="16"/>
      <c r="R197" s="1">
        <v>39</v>
      </c>
      <c r="S197" s="1" t="s">
        <v>1538</v>
      </c>
      <c r="T197" s="1" t="s">
        <v>1539</v>
      </c>
      <c r="V197" t="s">
        <v>285</v>
      </c>
      <c r="W197" s="16" t="s">
        <v>1540</v>
      </c>
      <c r="Z197" s="3" t="s">
        <v>784</v>
      </c>
      <c r="AC197" s="5" t="s">
        <v>1541</v>
      </c>
      <c r="AF197" s="3" t="s">
        <v>669</v>
      </c>
      <c r="AH197" s="31" t="s">
        <v>1542</v>
      </c>
      <c r="AI197" s="10" t="s">
        <v>1542</v>
      </c>
      <c r="AJ197" s="31" t="s">
        <v>1543</v>
      </c>
      <c r="AK197" s="31" t="s">
        <v>1544</v>
      </c>
      <c r="AM197" s="31" t="s">
        <v>1545</v>
      </c>
      <c r="AN197" s="4" t="s">
        <v>1273</v>
      </c>
      <c r="AR197" t="s">
        <v>1546</v>
      </c>
      <c r="AS197" t="s">
        <v>1546</v>
      </c>
      <c r="AT197" t="s">
        <v>735</v>
      </c>
      <c r="AV197" t="s">
        <v>1546</v>
      </c>
      <c r="BF197" t="s">
        <v>1018</v>
      </c>
      <c r="BJ197" t="s">
        <v>1547</v>
      </c>
      <c r="BM197" t="s">
        <v>1502</v>
      </c>
      <c r="CB197">
        <v>73</v>
      </c>
    </row>
    <row r="198" spans="2:80" x14ac:dyDescent="0.25">
      <c r="C198" s="20"/>
      <c r="D198">
        <v>59</v>
      </c>
      <c r="J198" s="16"/>
      <c r="K198" s="21"/>
      <c r="L198" s="16"/>
      <c r="M198" s="16"/>
      <c r="N198" s="21"/>
      <c r="O198" s="16"/>
      <c r="P198" s="16"/>
      <c r="Q198" s="16"/>
      <c r="R198" s="1">
        <v>43</v>
      </c>
      <c r="S198" s="1" t="s">
        <v>1548</v>
      </c>
      <c r="T198" s="1" t="s">
        <v>1549</v>
      </c>
      <c r="V198" t="s">
        <v>285</v>
      </c>
      <c r="W198" s="16" t="s">
        <v>1550</v>
      </c>
      <c r="AB198" s="5" t="s">
        <v>1551</v>
      </c>
      <c r="AC198" s="5" t="s">
        <v>1551</v>
      </c>
      <c r="AD198" s="3" t="s">
        <v>954</v>
      </c>
      <c r="AE198" s="3" t="s">
        <v>954</v>
      </c>
      <c r="AH198" s="31" t="s">
        <v>1552</v>
      </c>
      <c r="AI198" s="10" t="s">
        <v>1552</v>
      </c>
      <c r="AM198" s="31" t="s">
        <v>1553</v>
      </c>
      <c r="AQ198" t="s">
        <v>1554</v>
      </c>
      <c r="AS198" t="s">
        <v>1554</v>
      </c>
      <c r="AT198" t="s">
        <v>735</v>
      </c>
      <c r="AV198" t="s">
        <v>1555</v>
      </c>
      <c r="BF198" t="s">
        <v>909</v>
      </c>
      <c r="BJ198" t="s">
        <v>233</v>
      </c>
      <c r="BM198" t="s">
        <v>1521</v>
      </c>
      <c r="BQ198" t="s">
        <v>1320</v>
      </c>
      <c r="BR198" t="s">
        <v>1320</v>
      </c>
      <c r="CB198">
        <v>57</v>
      </c>
    </row>
    <row r="199" spans="2:80" x14ac:dyDescent="0.25">
      <c r="C199" s="20"/>
      <c r="D199">
        <v>70</v>
      </c>
      <c r="J199" s="16"/>
      <c r="K199" s="21"/>
      <c r="L199" s="16"/>
      <c r="M199" s="16"/>
      <c r="N199" s="21"/>
      <c r="O199" s="16"/>
      <c r="P199" s="16"/>
      <c r="Q199" s="16"/>
      <c r="R199" s="1">
        <v>40</v>
      </c>
      <c r="S199" s="1" t="s">
        <v>595</v>
      </c>
      <c r="T199" s="1" t="s">
        <v>1139</v>
      </c>
      <c r="V199" t="s">
        <v>285</v>
      </c>
      <c r="W199" s="16" t="s">
        <v>1556</v>
      </c>
      <c r="AC199" s="5" t="s">
        <v>1557</v>
      </c>
      <c r="AD199" s="3" t="s">
        <v>926</v>
      </c>
      <c r="AE199" s="3" t="s">
        <v>926</v>
      </c>
      <c r="AH199" s="31" t="s">
        <v>1558</v>
      </c>
      <c r="AI199" s="10" t="s">
        <v>1558</v>
      </c>
      <c r="AJ199" s="31" t="s">
        <v>1559</v>
      </c>
      <c r="AK199" s="31" t="s">
        <v>1560</v>
      </c>
      <c r="AM199" s="31" t="s">
        <v>1561</v>
      </c>
      <c r="AP199" t="s">
        <v>1562</v>
      </c>
      <c r="AQ199" t="s">
        <v>1562</v>
      </c>
      <c r="AR199" t="s">
        <v>1562</v>
      </c>
      <c r="AS199" t="s">
        <v>1562</v>
      </c>
      <c r="AT199" t="s">
        <v>1562</v>
      </c>
      <c r="AU199" t="s">
        <v>1562</v>
      </c>
      <c r="AV199" t="s">
        <v>1563</v>
      </c>
      <c r="AW199" t="s">
        <v>1564</v>
      </c>
      <c r="BF199" t="s">
        <v>447</v>
      </c>
      <c r="BJ199" t="s">
        <v>1437</v>
      </c>
      <c r="BM199" t="s">
        <v>1512</v>
      </c>
      <c r="CB199">
        <v>70</v>
      </c>
    </row>
    <row r="200" spans="2:80" x14ac:dyDescent="0.25">
      <c r="C200" s="20"/>
      <c r="D200">
        <v>72</v>
      </c>
      <c r="J200" s="16"/>
      <c r="K200" s="21"/>
      <c r="L200" s="16"/>
      <c r="M200" s="16"/>
      <c r="N200" s="21"/>
      <c r="O200" s="16"/>
      <c r="P200" s="16"/>
      <c r="Q200" s="16"/>
      <c r="R200" s="1">
        <v>41</v>
      </c>
      <c r="S200" s="1" t="s">
        <v>665</v>
      </c>
      <c r="T200" s="1" t="s">
        <v>1565</v>
      </c>
      <c r="V200" t="s">
        <v>285</v>
      </c>
      <c r="W200" s="16" t="s">
        <v>1566</v>
      </c>
      <c r="AB200" s="5" t="s">
        <v>1567</v>
      </c>
      <c r="AC200" s="5" t="s">
        <v>1567</v>
      </c>
      <c r="AD200" s="3" t="s">
        <v>862</v>
      </c>
      <c r="AE200" s="3" t="s">
        <v>862</v>
      </c>
      <c r="AH200" s="31" t="s">
        <v>1568</v>
      </c>
      <c r="AI200" s="10" t="s">
        <v>1568</v>
      </c>
      <c r="AK200" s="31" t="s">
        <v>1569</v>
      </c>
      <c r="AM200" s="31" t="s">
        <v>1570</v>
      </c>
      <c r="AP200" t="s">
        <v>1571</v>
      </c>
      <c r="AQ200" t="s">
        <v>1571</v>
      </c>
      <c r="AR200" t="s">
        <v>1571</v>
      </c>
      <c r="AS200" t="s">
        <v>1571</v>
      </c>
      <c r="AT200" t="s">
        <v>1571</v>
      </c>
      <c r="AU200" t="s">
        <v>1571</v>
      </c>
      <c r="AV200" t="s">
        <v>1572</v>
      </c>
      <c r="AW200" t="s">
        <v>1573</v>
      </c>
      <c r="BF200" t="s">
        <v>903</v>
      </c>
      <c r="BJ200" t="s">
        <v>258</v>
      </c>
      <c r="BM200" t="s">
        <v>1530</v>
      </c>
      <c r="CB200">
        <v>56</v>
      </c>
    </row>
    <row r="201" spans="2:80" x14ac:dyDescent="0.25">
      <c r="C201" s="20"/>
      <c r="D201">
        <v>74</v>
      </c>
      <c r="J201" s="16"/>
      <c r="K201" s="21"/>
      <c r="L201" s="16"/>
      <c r="M201" s="16"/>
      <c r="N201" s="21"/>
      <c r="O201" s="16"/>
      <c r="P201" s="16"/>
      <c r="Q201" s="16"/>
      <c r="R201" s="1">
        <v>42</v>
      </c>
      <c r="S201" s="1" t="s">
        <v>1032</v>
      </c>
      <c r="T201" s="1" t="s">
        <v>1045</v>
      </c>
      <c r="V201" t="s">
        <v>285</v>
      </c>
      <c r="W201" s="16" t="s">
        <v>1574</v>
      </c>
      <c r="AB201" s="5" t="s">
        <v>1575</v>
      </c>
      <c r="AC201" s="5" t="s">
        <v>1575</v>
      </c>
      <c r="AD201" s="3" t="s">
        <v>853</v>
      </c>
      <c r="AE201" s="3" t="s">
        <v>853</v>
      </c>
      <c r="AH201" s="31" t="s">
        <v>1576</v>
      </c>
      <c r="AI201" s="10" t="s">
        <v>1576</v>
      </c>
      <c r="AK201" s="31" t="s">
        <v>1577</v>
      </c>
      <c r="AM201" s="31" t="s">
        <v>1578</v>
      </c>
      <c r="AR201" t="s">
        <v>1579</v>
      </c>
      <c r="AS201" t="s">
        <v>1579</v>
      </c>
      <c r="AT201" t="s">
        <v>934</v>
      </c>
      <c r="AV201" t="s">
        <v>1579</v>
      </c>
      <c r="BF201" t="s">
        <v>454</v>
      </c>
      <c r="BJ201" t="s">
        <v>244</v>
      </c>
      <c r="BM201" t="s">
        <v>1580</v>
      </c>
      <c r="CB201">
        <v>53</v>
      </c>
    </row>
    <row r="202" spans="2:80" x14ac:dyDescent="0.25">
      <c r="B202">
        <v>70</v>
      </c>
      <c r="C202" s="20"/>
      <c r="J202" s="16"/>
      <c r="K202" s="21"/>
      <c r="L202" s="16"/>
      <c r="M202" s="16"/>
      <c r="N202" s="21"/>
      <c r="O202" s="16"/>
      <c r="P202" s="16"/>
      <c r="Q202" s="16"/>
      <c r="R202"/>
      <c r="S202"/>
      <c r="T202" t="s">
        <v>1065</v>
      </c>
      <c r="V202" t="s">
        <v>285</v>
      </c>
      <c r="W202" s="16" t="s">
        <v>1581</v>
      </c>
      <c r="AB202" s="5" t="s">
        <v>1582</v>
      </c>
      <c r="AC202" s="5" t="s">
        <v>1582</v>
      </c>
      <c r="AI202" s="10" t="s">
        <v>1583</v>
      </c>
      <c r="AQ202" t="s">
        <v>1584</v>
      </c>
      <c r="BF202" t="s">
        <v>1018</v>
      </c>
      <c r="BM202" t="s">
        <v>1585</v>
      </c>
      <c r="CB202">
        <v>55</v>
      </c>
    </row>
    <row r="203" spans="2:80" x14ac:dyDescent="0.25">
      <c r="B203">
        <v>68</v>
      </c>
      <c r="C203" s="20"/>
      <c r="J203" s="16"/>
      <c r="K203" s="21"/>
      <c r="L203" s="16"/>
      <c r="M203" s="16"/>
      <c r="N203" s="21"/>
      <c r="O203" s="16"/>
      <c r="P203" s="16"/>
      <c r="Q203" s="16"/>
      <c r="R203"/>
      <c r="S203"/>
      <c r="T203" t="s">
        <v>771</v>
      </c>
      <c r="V203" t="s">
        <v>285</v>
      </c>
      <c r="W203" s="16" t="s">
        <v>1586</v>
      </c>
      <c r="AB203" s="5" t="s">
        <v>1587</v>
      </c>
      <c r="AC203" s="5" t="s">
        <v>1587</v>
      </c>
      <c r="AI203" s="10" t="s">
        <v>1588</v>
      </c>
      <c r="AQ203" t="s">
        <v>1589</v>
      </c>
      <c r="AS203" t="s">
        <v>1589</v>
      </c>
      <c r="AT203" t="s">
        <v>934</v>
      </c>
      <c r="AV203" t="s">
        <v>1590</v>
      </c>
      <c r="BF203" t="s">
        <v>305</v>
      </c>
      <c r="BM203" t="s">
        <v>1591</v>
      </c>
      <c r="CB203">
        <v>71</v>
      </c>
    </row>
    <row r="204" spans="2:80" x14ac:dyDescent="0.25">
      <c r="B204">
        <v>66</v>
      </c>
      <c r="C204" s="20"/>
      <c r="J204" s="16"/>
      <c r="K204" s="21"/>
      <c r="L204" s="16"/>
      <c r="M204" s="16"/>
      <c r="N204" s="21"/>
      <c r="O204" s="16"/>
      <c r="P204" s="16"/>
      <c r="Q204" s="16"/>
      <c r="R204"/>
      <c r="S204"/>
      <c r="T204" t="s">
        <v>1055</v>
      </c>
      <c r="V204" t="s">
        <v>285</v>
      </c>
      <c r="W204" s="16" t="s">
        <v>1592</v>
      </c>
      <c r="AB204" s="5" t="s">
        <v>1593</v>
      </c>
      <c r="AC204" s="5" t="s">
        <v>1593</v>
      </c>
      <c r="AI204" s="10" t="s">
        <v>1594</v>
      </c>
      <c r="BF204" t="s">
        <v>299</v>
      </c>
      <c r="BM204" t="s">
        <v>1595</v>
      </c>
      <c r="CB204">
        <v>54</v>
      </c>
    </row>
    <row r="205" spans="2:80" x14ac:dyDescent="0.25">
      <c r="B205" s="35">
        <v>14</v>
      </c>
      <c r="C205" s="20"/>
      <c r="E205" s="41" t="s">
        <v>1596</v>
      </c>
      <c r="J205" s="41" t="s">
        <v>1596</v>
      </c>
      <c r="K205" s="21"/>
      <c r="L205" s="16"/>
      <c r="M205" s="16"/>
      <c r="N205" s="21"/>
      <c r="O205" s="16"/>
      <c r="P205" s="16"/>
      <c r="Q205" s="16"/>
      <c r="R205" s="42">
        <v>202</v>
      </c>
      <c r="S205" s="1" t="s">
        <v>1597</v>
      </c>
      <c r="T205" s="1" t="s">
        <v>504</v>
      </c>
      <c r="V205" t="s">
        <v>285</v>
      </c>
      <c r="W205" s="28" t="s">
        <v>1598</v>
      </c>
      <c r="AM205" s="4" t="s">
        <v>1599</v>
      </c>
      <c r="BM205" t="s">
        <v>1521</v>
      </c>
      <c r="CA205">
        <v>-1</v>
      </c>
      <c r="CB205">
        <v>112</v>
      </c>
    </row>
    <row r="206" spans="2:80" x14ac:dyDescent="0.25">
      <c r="B206" s="35">
        <v>12</v>
      </c>
      <c r="C206" s="20"/>
      <c r="E206" s="7" t="s">
        <v>1600</v>
      </c>
      <c r="J206" s="7" t="s">
        <v>1600</v>
      </c>
      <c r="K206" s="21"/>
      <c r="L206" s="16"/>
      <c r="M206" s="16"/>
      <c r="N206" s="21"/>
      <c r="O206" s="16"/>
      <c r="P206" s="16"/>
      <c r="Q206" s="16"/>
      <c r="R206" s="42">
        <v>203</v>
      </c>
      <c r="S206" s="1" t="s">
        <v>1140</v>
      </c>
      <c r="T206" s="1" t="s">
        <v>1601</v>
      </c>
      <c r="V206" t="s">
        <v>285</v>
      </c>
      <c r="W206" s="28" t="s">
        <v>1602</v>
      </c>
      <c r="AM206" s="31" t="s">
        <v>1603</v>
      </c>
      <c r="BM206" t="s">
        <v>1530</v>
      </c>
      <c r="CA206">
        <v>-1</v>
      </c>
      <c r="CB206">
        <v>103</v>
      </c>
    </row>
    <row r="207" spans="2:80" x14ac:dyDescent="0.25">
      <c r="B207" s="35">
        <v>26</v>
      </c>
      <c r="C207" s="20"/>
      <c r="E207" s="27" t="s">
        <v>1604</v>
      </c>
      <c r="J207" s="16" t="s">
        <v>1605</v>
      </c>
      <c r="K207" s="21"/>
      <c r="L207" s="16"/>
      <c r="M207" s="16"/>
      <c r="N207" s="21"/>
      <c r="O207" s="16"/>
      <c r="P207" s="16" t="s">
        <v>173</v>
      </c>
      <c r="Q207" s="16"/>
      <c r="R207" s="42">
        <v>204</v>
      </c>
      <c r="S207" s="1" t="s">
        <v>1128</v>
      </c>
      <c r="T207" s="1" t="s">
        <v>1606</v>
      </c>
      <c r="V207" t="s">
        <v>285</v>
      </c>
      <c r="W207" s="16" t="s">
        <v>1607</v>
      </c>
      <c r="Z207" s="27" t="s">
        <v>1605</v>
      </c>
      <c r="AM207" s="4" t="s">
        <v>1608</v>
      </c>
      <c r="BM207" t="s">
        <v>1496</v>
      </c>
      <c r="CA207">
        <v>-1</v>
      </c>
      <c r="CB207">
        <v>104</v>
      </c>
    </row>
    <row r="208" spans="2:80" x14ac:dyDescent="0.25">
      <c r="B208" s="35">
        <v>15</v>
      </c>
      <c r="C208" s="20"/>
      <c r="E208" s="41" t="s">
        <v>1609</v>
      </c>
      <c r="J208" s="41" t="s">
        <v>1609</v>
      </c>
      <c r="K208" s="21"/>
      <c r="L208" s="16"/>
      <c r="M208" s="16"/>
      <c r="N208" s="21"/>
      <c r="O208" s="16"/>
      <c r="P208" s="16"/>
      <c r="Q208" s="16"/>
      <c r="R208" s="42">
        <v>205</v>
      </c>
      <c r="S208" s="1" t="s">
        <v>1102</v>
      </c>
      <c r="T208" s="1" t="s">
        <v>1610</v>
      </c>
      <c r="V208" t="s">
        <v>285</v>
      </c>
      <c r="W208" s="28" t="s">
        <v>1611</v>
      </c>
      <c r="AM208" s="4" t="s">
        <v>1612</v>
      </c>
      <c r="BM208" t="s">
        <v>1487</v>
      </c>
      <c r="CA208">
        <v>-1</v>
      </c>
      <c r="CB208">
        <v>96</v>
      </c>
    </row>
    <row r="209" spans="2:80" x14ac:dyDescent="0.25">
      <c r="B209" s="35">
        <v>13</v>
      </c>
      <c r="C209" s="20"/>
      <c r="E209" s="7" t="s">
        <v>1613</v>
      </c>
      <c r="J209" s="7" t="s">
        <v>1613</v>
      </c>
      <c r="K209" s="21"/>
      <c r="L209" s="16"/>
      <c r="M209" s="16"/>
      <c r="N209" s="21"/>
      <c r="O209" s="16"/>
      <c r="P209" s="16"/>
      <c r="Q209" s="16"/>
      <c r="R209" s="42">
        <v>206</v>
      </c>
      <c r="S209" s="1" t="s">
        <v>772</v>
      </c>
      <c r="T209" s="1" t="s">
        <v>1614</v>
      </c>
      <c r="V209" t="s">
        <v>285</v>
      </c>
      <c r="W209" s="28" t="s">
        <v>1615</v>
      </c>
      <c r="AM209" s="4" t="s">
        <v>1616</v>
      </c>
      <c r="BM209" t="s">
        <v>1478</v>
      </c>
      <c r="CA209">
        <v>-1</v>
      </c>
      <c r="CB209">
        <v>95</v>
      </c>
    </row>
    <row r="210" spans="2:80" x14ac:dyDescent="0.25">
      <c r="B210" s="35">
        <v>28</v>
      </c>
      <c r="C210" s="20"/>
      <c r="E210" s="27" t="s">
        <v>1617</v>
      </c>
      <c r="J210" s="16" t="s">
        <v>1618</v>
      </c>
      <c r="K210" s="21"/>
      <c r="L210" s="16"/>
      <c r="M210" s="16"/>
      <c r="N210" s="21"/>
      <c r="O210" s="16"/>
      <c r="P210" s="16" t="s">
        <v>173</v>
      </c>
      <c r="Q210" s="16"/>
      <c r="R210" s="42">
        <v>207</v>
      </c>
      <c r="S210" s="1" t="s">
        <v>1619</v>
      </c>
      <c r="T210" s="1" t="s">
        <v>1620</v>
      </c>
      <c r="V210" t="s">
        <v>285</v>
      </c>
      <c r="W210" s="16" t="s">
        <v>1621</v>
      </c>
      <c r="Z210" s="27" t="s">
        <v>1618</v>
      </c>
      <c r="AM210" s="4" t="s">
        <v>1622</v>
      </c>
      <c r="BM210" t="s">
        <v>1623</v>
      </c>
      <c r="CA210">
        <v>-1</v>
      </c>
      <c r="CB210">
        <v>105</v>
      </c>
    </row>
    <row r="211" spans="2:80" x14ac:dyDescent="0.25">
      <c r="B211" s="35">
        <v>11</v>
      </c>
      <c r="C211" s="20"/>
      <c r="E211" s="41" t="s">
        <v>1624</v>
      </c>
      <c r="J211" s="41" t="s">
        <v>1624</v>
      </c>
      <c r="K211" s="21"/>
      <c r="L211" s="16"/>
      <c r="M211" s="16"/>
      <c r="N211" s="21"/>
      <c r="O211" s="16"/>
      <c r="P211" s="16"/>
      <c r="Q211" s="16"/>
      <c r="R211" s="42">
        <v>208</v>
      </c>
      <c r="S211" s="1" t="s">
        <v>1116</v>
      </c>
      <c r="T211" s="1" t="s">
        <v>1619</v>
      </c>
      <c r="V211" t="s">
        <v>285</v>
      </c>
      <c r="W211" s="28" t="s">
        <v>1625</v>
      </c>
      <c r="AM211" s="4" t="s">
        <v>1626</v>
      </c>
      <c r="BM211" t="s">
        <v>922</v>
      </c>
      <c r="CA211">
        <v>-1</v>
      </c>
      <c r="CB211">
        <v>94</v>
      </c>
    </row>
    <row r="212" spans="2:80" x14ac:dyDescent="0.25">
      <c r="B212" s="30"/>
      <c r="C212" s="30"/>
      <c r="D212" s="30"/>
      <c r="E212" s="27" t="s">
        <v>1627</v>
      </c>
      <c r="J212" s="16" t="s">
        <v>1628</v>
      </c>
      <c r="K212" s="21"/>
      <c r="L212" s="16"/>
      <c r="M212" s="16"/>
      <c r="N212" s="21"/>
      <c r="O212" s="16"/>
      <c r="P212" s="16" t="s">
        <v>296</v>
      </c>
      <c r="Q212" s="16"/>
      <c r="R212"/>
      <c r="S212"/>
      <c r="T212" t="s">
        <v>1629</v>
      </c>
      <c r="V212" t="s">
        <v>176</v>
      </c>
      <c r="W212" s="16" t="s">
        <v>1630</v>
      </c>
      <c r="Y212" s="27" t="s">
        <v>1628</v>
      </c>
      <c r="AQ212" t="s">
        <v>1631</v>
      </c>
      <c r="AS212" t="s">
        <v>1631</v>
      </c>
      <c r="AT212" t="s">
        <v>920</v>
      </c>
      <c r="AV212" t="s">
        <v>1632</v>
      </c>
      <c r="BA212" s="25" t="s">
        <v>1633</v>
      </c>
      <c r="BF212" t="s">
        <v>651</v>
      </c>
      <c r="BM212" t="s">
        <v>1634</v>
      </c>
      <c r="BU212" t="s">
        <v>1635</v>
      </c>
      <c r="CA212">
        <v>-1</v>
      </c>
      <c r="CB212">
        <v>130</v>
      </c>
    </row>
    <row r="213" spans="2:80" x14ac:dyDescent="0.25">
      <c r="B213" s="30"/>
      <c r="C213" s="30"/>
      <c r="D213" s="30"/>
      <c r="E213" s="27" t="s">
        <v>1636</v>
      </c>
      <c r="J213" s="16" t="s">
        <v>1637</v>
      </c>
      <c r="K213" s="21"/>
      <c r="L213" s="16"/>
      <c r="M213" s="16"/>
      <c r="N213" s="21"/>
      <c r="O213" s="16"/>
      <c r="P213" s="16" t="s">
        <v>296</v>
      </c>
      <c r="Q213" s="16"/>
      <c r="R213"/>
      <c r="S213"/>
      <c r="T213" t="s">
        <v>973</v>
      </c>
      <c r="V213" t="s">
        <v>176</v>
      </c>
      <c r="W213" s="16" t="s">
        <v>1638</v>
      </c>
      <c r="Y213" s="27" t="s">
        <v>1637</v>
      </c>
      <c r="AQ213" t="s">
        <v>1639</v>
      </c>
      <c r="BA213" s="25" t="s">
        <v>1640</v>
      </c>
      <c r="BF213" t="s">
        <v>662</v>
      </c>
      <c r="BM213" t="s">
        <v>1641</v>
      </c>
      <c r="BU213" t="s">
        <v>1642</v>
      </c>
      <c r="CA213">
        <v>-1</v>
      </c>
      <c r="CB213">
        <v>132</v>
      </c>
    </row>
    <row r="214" spans="2:80" x14ac:dyDescent="0.25">
      <c r="B214" s="30"/>
      <c r="C214" s="30"/>
      <c r="D214" s="30"/>
      <c r="E214" s="27" t="s">
        <v>1643</v>
      </c>
      <c r="J214" s="16" t="s">
        <v>1644</v>
      </c>
      <c r="K214" s="21"/>
      <c r="L214" s="16"/>
      <c r="M214" s="16"/>
      <c r="N214" s="21"/>
      <c r="O214" s="16"/>
      <c r="P214" s="16" t="s">
        <v>296</v>
      </c>
      <c r="Q214" s="16"/>
      <c r="R214"/>
      <c r="S214"/>
      <c r="T214" t="s">
        <v>993</v>
      </c>
      <c r="V214" t="s">
        <v>176</v>
      </c>
      <c r="W214" s="16" t="s">
        <v>1645</v>
      </c>
      <c r="Y214" s="27" t="s">
        <v>1644</v>
      </c>
      <c r="AN214" s="4" t="s">
        <v>180</v>
      </c>
      <c r="AR214" t="s">
        <v>1646</v>
      </c>
      <c r="AS214" t="s">
        <v>1646</v>
      </c>
      <c r="AT214" t="s">
        <v>920</v>
      </c>
      <c r="AV214" t="s">
        <v>1646</v>
      </c>
      <c r="BA214" s="25" t="s">
        <v>1647</v>
      </c>
      <c r="BF214" t="s">
        <v>676</v>
      </c>
      <c r="BM214" t="s">
        <v>1648</v>
      </c>
      <c r="BU214" t="s">
        <v>1649</v>
      </c>
      <c r="CA214">
        <v>-1</v>
      </c>
      <c r="CB214">
        <v>122</v>
      </c>
    </row>
    <row r="215" spans="2:80" x14ac:dyDescent="0.25">
      <c r="B215" s="30"/>
      <c r="C215" s="30"/>
      <c r="D215" s="30"/>
      <c r="E215" s="27" t="s">
        <v>1650</v>
      </c>
      <c r="J215" s="16" t="s">
        <v>1651</v>
      </c>
      <c r="K215" s="21"/>
      <c r="L215" s="16"/>
      <c r="M215" s="16"/>
      <c r="N215" s="21"/>
      <c r="O215" s="16"/>
      <c r="P215" s="16" t="s">
        <v>296</v>
      </c>
      <c r="Q215" s="16"/>
      <c r="R215"/>
      <c r="S215"/>
      <c r="T215" t="s">
        <v>1652</v>
      </c>
      <c r="V215" t="s">
        <v>176</v>
      </c>
      <c r="W215" s="16" t="s">
        <v>1653</v>
      </c>
      <c r="Y215" s="27" t="s">
        <v>1651</v>
      </c>
      <c r="AN215" s="4" t="s">
        <v>195</v>
      </c>
      <c r="AP215" t="s">
        <v>1654</v>
      </c>
      <c r="AQ215" t="s">
        <v>1654</v>
      </c>
      <c r="AR215" t="s">
        <v>1654</v>
      </c>
      <c r="AS215" t="s">
        <v>1654</v>
      </c>
      <c r="AT215" t="s">
        <v>1654</v>
      </c>
      <c r="AU215" t="s">
        <v>1654</v>
      </c>
      <c r="AV215" t="s">
        <v>1655</v>
      </c>
      <c r="AW215" t="s">
        <v>1656</v>
      </c>
      <c r="BA215" s="25" t="s">
        <v>1657</v>
      </c>
      <c r="BF215" t="s">
        <v>1018</v>
      </c>
      <c r="BM215" t="s">
        <v>1658</v>
      </c>
      <c r="BU215" t="s">
        <v>1659</v>
      </c>
      <c r="CA215">
        <v>-1</v>
      </c>
      <c r="CB215">
        <v>121</v>
      </c>
    </row>
    <row r="216" spans="2:80" x14ac:dyDescent="0.25">
      <c r="B216" s="30"/>
      <c r="C216" s="30"/>
      <c r="D216" s="30"/>
      <c r="E216" s="27" t="s">
        <v>1660</v>
      </c>
      <c r="J216" s="16" t="s">
        <v>1661</v>
      </c>
      <c r="K216" s="21"/>
      <c r="L216" s="16"/>
      <c r="M216" s="16"/>
      <c r="N216" s="21"/>
      <c r="O216" s="16"/>
      <c r="P216" s="16" t="s">
        <v>296</v>
      </c>
      <c r="Q216" s="16"/>
      <c r="R216"/>
      <c r="S216"/>
      <c r="T216" t="s">
        <v>987</v>
      </c>
      <c r="V216" t="s">
        <v>176</v>
      </c>
      <c r="W216" s="16" t="s">
        <v>1662</v>
      </c>
      <c r="Y216" s="27" t="s">
        <v>1661</v>
      </c>
      <c r="AN216" s="4" t="s">
        <v>207</v>
      </c>
      <c r="AP216" t="s">
        <v>1663</v>
      </c>
      <c r="AQ216" t="s">
        <v>1663</v>
      </c>
      <c r="AR216" t="s">
        <v>1663</v>
      </c>
      <c r="AS216" t="s">
        <v>1663</v>
      </c>
      <c r="AT216" t="s">
        <v>1663</v>
      </c>
      <c r="AU216" t="s">
        <v>1663</v>
      </c>
      <c r="AV216" t="s">
        <v>1664</v>
      </c>
      <c r="AW216" t="s">
        <v>1665</v>
      </c>
      <c r="BA216" s="25" t="s">
        <v>1666</v>
      </c>
      <c r="BF216" t="s">
        <v>454</v>
      </c>
      <c r="BM216" t="s">
        <v>1667</v>
      </c>
      <c r="BU216" t="s">
        <v>1668</v>
      </c>
      <c r="CA216">
        <v>-1</v>
      </c>
      <c r="CB216">
        <v>123</v>
      </c>
    </row>
    <row r="217" spans="2:80" x14ac:dyDescent="0.25">
      <c r="B217" s="30"/>
      <c r="C217" s="30"/>
      <c r="D217" s="30"/>
      <c r="E217" s="27" t="s">
        <v>1669</v>
      </c>
      <c r="J217" s="16" t="s">
        <v>1670</v>
      </c>
      <c r="K217" s="21"/>
      <c r="L217" s="16"/>
      <c r="M217" s="16"/>
      <c r="N217" s="21"/>
      <c r="O217" s="16"/>
      <c r="P217" s="16" t="s">
        <v>296</v>
      </c>
      <c r="Q217" s="16"/>
      <c r="R217"/>
      <c r="S217"/>
      <c r="T217" t="s">
        <v>260</v>
      </c>
      <c r="V217" t="s">
        <v>176</v>
      </c>
      <c r="W217" s="16" t="s">
        <v>1671</v>
      </c>
      <c r="Y217" s="27" t="s">
        <v>1670</v>
      </c>
      <c r="AN217" s="4" t="s">
        <v>226</v>
      </c>
      <c r="BA217" t="s">
        <v>1672</v>
      </c>
      <c r="BF217" t="s">
        <v>909</v>
      </c>
      <c r="BM217" t="s">
        <v>1673</v>
      </c>
      <c r="BU217" t="s">
        <v>1674</v>
      </c>
      <c r="CA217">
        <v>-1</v>
      </c>
      <c r="CB217">
        <v>125</v>
      </c>
    </row>
    <row r="218" spans="2:80" x14ac:dyDescent="0.25">
      <c r="B218" s="30"/>
      <c r="C218" s="30"/>
      <c r="D218" s="30"/>
      <c r="E218" s="27" t="s">
        <v>1675</v>
      </c>
      <c r="J218" s="16" t="s">
        <v>1676</v>
      </c>
      <c r="K218" s="21"/>
      <c r="L218" s="16"/>
      <c r="M218" s="16"/>
      <c r="N218" s="21"/>
      <c r="O218" s="16"/>
      <c r="P218" s="16" t="s">
        <v>296</v>
      </c>
      <c r="Q218" s="16"/>
      <c r="R218"/>
      <c r="S218"/>
      <c r="T218" t="s">
        <v>221</v>
      </c>
      <c r="V218" t="s">
        <v>176</v>
      </c>
      <c r="W218" s="16" t="s">
        <v>1677</v>
      </c>
      <c r="Y218" s="27" t="s">
        <v>1676</v>
      </c>
      <c r="AN218" s="4" t="s">
        <v>239</v>
      </c>
      <c r="BA218" t="s">
        <v>1678</v>
      </c>
      <c r="BF218" t="s">
        <v>903</v>
      </c>
      <c r="BM218" t="s">
        <v>1405</v>
      </c>
      <c r="BU218" t="s">
        <v>1679</v>
      </c>
      <c r="CA218">
        <v>-1</v>
      </c>
      <c r="CB218">
        <v>144</v>
      </c>
    </row>
    <row r="219" spans="2:80" x14ac:dyDescent="0.25">
      <c r="B219" s="30"/>
      <c r="C219" s="30"/>
      <c r="D219" s="30"/>
      <c r="E219" s="27" t="s">
        <v>1680</v>
      </c>
      <c r="J219" s="16" t="s">
        <v>1681</v>
      </c>
      <c r="K219" s="21"/>
      <c r="L219" s="16"/>
      <c r="M219" s="16"/>
      <c r="N219" s="21"/>
      <c r="O219" s="16"/>
      <c r="P219" s="16" t="s">
        <v>296</v>
      </c>
      <c r="Q219" s="16"/>
      <c r="R219"/>
      <c r="S219"/>
      <c r="T219" t="s">
        <v>1682</v>
      </c>
      <c r="V219" t="s">
        <v>176</v>
      </c>
      <c r="W219" s="16" t="s">
        <v>1683</v>
      </c>
      <c r="Y219" s="27" t="s">
        <v>1681</v>
      </c>
      <c r="AN219" s="4" t="s">
        <v>250</v>
      </c>
      <c r="BA219" t="s">
        <v>1684</v>
      </c>
      <c r="BF219" t="s">
        <v>447</v>
      </c>
      <c r="BM219" t="s">
        <v>1414</v>
      </c>
      <c r="BU219" t="s">
        <v>1685</v>
      </c>
      <c r="CA219">
        <v>-1</v>
      </c>
      <c r="CB219">
        <v>117</v>
      </c>
    </row>
    <row r="220" spans="2:80" x14ac:dyDescent="0.25">
      <c r="B220" s="39">
        <v>4</v>
      </c>
      <c r="C220" s="20"/>
      <c r="E220" s="40" t="s">
        <v>1686</v>
      </c>
      <c r="J220" s="16" t="s">
        <v>1687</v>
      </c>
      <c r="K220" s="21"/>
      <c r="L220" s="16"/>
      <c r="M220" s="16"/>
      <c r="N220" s="21"/>
      <c r="O220" s="16"/>
      <c r="P220" s="16" t="s">
        <v>296</v>
      </c>
      <c r="Q220" s="16"/>
      <c r="R220"/>
      <c r="S220"/>
      <c r="T220" t="s">
        <v>977</v>
      </c>
      <c r="V220" t="s">
        <v>176</v>
      </c>
      <c r="W220" s="16" t="s">
        <v>1688</v>
      </c>
      <c r="Y220" s="27" t="s">
        <v>1687</v>
      </c>
      <c r="AN220" s="4" t="s">
        <v>1232</v>
      </c>
      <c r="BA220" t="s">
        <v>1689</v>
      </c>
      <c r="BF220" t="s">
        <v>637</v>
      </c>
      <c r="BM220" t="s">
        <v>1690</v>
      </c>
      <c r="BU220" t="s">
        <v>1691</v>
      </c>
      <c r="CA220">
        <v>-1</v>
      </c>
      <c r="CB220">
        <v>133</v>
      </c>
    </row>
    <row r="221" spans="2:80" x14ac:dyDescent="0.25">
      <c r="B221" s="39">
        <v>6</v>
      </c>
      <c r="C221" s="20"/>
      <c r="E221" s="40" t="s">
        <v>1692</v>
      </c>
      <c r="J221" s="16" t="s">
        <v>1693</v>
      </c>
      <c r="K221" s="21"/>
      <c r="L221" s="16"/>
      <c r="M221" s="16"/>
      <c r="N221" s="21"/>
      <c r="O221" s="16"/>
      <c r="P221" s="16" t="s">
        <v>296</v>
      </c>
      <c r="Q221" s="16"/>
      <c r="R221"/>
      <c r="S221"/>
      <c r="T221" t="s">
        <v>274</v>
      </c>
      <c r="V221" t="s">
        <v>176</v>
      </c>
      <c r="W221" s="16" t="s">
        <v>1694</v>
      </c>
      <c r="Y221" s="27" t="s">
        <v>1693</v>
      </c>
      <c r="BA221" t="s">
        <v>1695</v>
      </c>
      <c r="BM221" t="s">
        <v>1487</v>
      </c>
      <c r="BU221" t="s">
        <v>1696</v>
      </c>
      <c r="CA221">
        <v>-1</v>
      </c>
      <c r="CB221">
        <v>124</v>
      </c>
    </row>
    <row r="222" spans="2:80" x14ac:dyDescent="0.25">
      <c r="B222" s="39">
        <v>5</v>
      </c>
      <c r="C222" s="20"/>
      <c r="E222" s="40" t="s">
        <v>1697</v>
      </c>
      <c r="J222" s="16" t="s">
        <v>1698</v>
      </c>
      <c r="K222" s="21"/>
      <c r="L222" s="16"/>
      <c r="M222" s="16"/>
      <c r="N222" s="21"/>
      <c r="O222" s="16"/>
      <c r="P222" s="16" t="s">
        <v>296</v>
      </c>
      <c r="Q222" s="16"/>
      <c r="R222"/>
      <c r="S222"/>
      <c r="T222" t="s">
        <v>204</v>
      </c>
      <c r="V222" t="s">
        <v>176</v>
      </c>
      <c r="W222" s="16" t="s">
        <v>1699</v>
      </c>
      <c r="Y222" s="27" t="s">
        <v>1698</v>
      </c>
      <c r="AN222" s="4" t="s">
        <v>1273</v>
      </c>
      <c r="BA222" t="s">
        <v>1700</v>
      </c>
      <c r="BF222" t="s">
        <v>1495</v>
      </c>
      <c r="BM222" t="s">
        <v>1496</v>
      </c>
      <c r="BU222" t="s">
        <v>1701</v>
      </c>
      <c r="CA222">
        <v>-1</v>
      </c>
      <c r="CB222">
        <v>134</v>
      </c>
    </row>
    <row r="223" spans="2:80" x14ac:dyDescent="0.25">
      <c r="B223" s="39">
        <v>38</v>
      </c>
      <c r="C223" s="20"/>
      <c r="E223" s="40" t="s">
        <v>1702</v>
      </c>
      <c r="J223" s="16" t="s">
        <v>1703</v>
      </c>
      <c r="K223" s="21"/>
      <c r="L223" s="16"/>
      <c r="M223" s="16"/>
      <c r="N223" s="21"/>
      <c r="O223" s="16"/>
      <c r="P223" s="16" t="s">
        <v>296</v>
      </c>
      <c r="Q223" s="16"/>
      <c r="R223">
        <v>128</v>
      </c>
      <c r="S223" t="s">
        <v>1629</v>
      </c>
      <c r="T223" t="s">
        <v>1704</v>
      </c>
      <c r="V223" t="s">
        <v>285</v>
      </c>
      <c r="W223" s="16" t="s">
        <v>1705</v>
      </c>
      <c r="Y223" s="27" t="s">
        <v>1703</v>
      </c>
      <c r="AH223" s="31" t="s">
        <v>1178</v>
      </c>
      <c r="AI223" s="16" t="s">
        <v>1178</v>
      </c>
      <c r="AJ223" s="31" t="s">
        <v>1178</v>
      </c>
      <c r="AK223" s="16" t="s">
        <v>1178</v>
      </c>
      <c r="AM223" s="4" t="s">
        <v>1179</v>
      </c>
      <c r="AN223" s="4" t="s">
        <v>1172</v>
      </c>
      <c r="AQ223" t="s">
        <v>1706</v>
      </c>
      <c r="AS223" t="s">
        <v>1706</v>
      </c>
      <c r="AT223" t="s">
        <v>569</v>
      </c>
      <c r="AV223" t="s">
        <v>1707</v>
      </c>
      <c r="BF223" t="s">
        <v>591</v>
      </c>
      <c r="BM223" t="s">
        <v>1708</v>
      </c>
      <c r="BU223" t="s">
        <v>1709</v>
      </c>
      <c r="CA223">
        <v>-1</v>
      </c>
      <c r="CB223">
        <v>101</v>
      </c>
    </row>
    <row r="224" spans="2:80" x14ac:dyDescent="0.25">
      <c r="B224" s="39">
        <v>8</v>
      </c>
      <c r="C224" s="20"/>
      <c r="E224" s="40" t="s">
        <v>1710</v>
      </c>
      <c r="H224" s="16"/>
      <c r="I224" s="16"/>
      <c r="J224" s="16" t="s">
        <v>1711</v>
      </c>
      <c r="K224" s="21"/>
      <c r="L224" s="16"/>
      <c r="M224" s="16"/>
      <c r="N224" s="21"/>
      <c r="O224" s="16"/>
      <c r="P224" s="16" t="s">
        <v>296</v>
      </c>
      <c r="Q224" s="16"/>
      <c r="R224" s="1">
        <v>127</v>
      </c>
      <c r="S224" s="1" t="s">
        <v>1712</v>
      </c>
      <c r="T224" s="1" t="s">
        <v>1713</v>
      </c>
      <c r="V224" t="s">
        <v>285</v>
      </c>
      <c r="W224" s="16" t="s">
        <v>1714</v>
      </c>
      <c r="Y224" s="27" t="s">
        <v>1711</v>
      </c>
      <c r="AH224" s="31" t="s">
        <v>1188</v>
      </c>
      <c r="AI224" s="31" t="s">
        <v>1188</v>
      </c>
      <c r="AJ224" s="31" t="s">
        <v>1188</v>
      </c>
      <c r="AK224" s="31" t="s">
        <v>1188</v>
      </c>
      <c r="AM224" s="4" t="s">
        <v>1189</v>
      </c>
      <c r="AN224" s="4" t="s">
        <v>1164</v>
      </c>
      <c r="AR224" t="s">
        <v>1715</v>
      </c>
      <c r="AS224" t="s">
        <v>1715</v>
      </c>
      <c r="AT224" t="s">
        <v>569</v>
      </c>
      <c r="AV224" t="s">
        <v>1715</v>
      </c>
      <c r="BF224" t="s">
        <v>603</v>
      </c>
      <c r="BM224" t="s">
        <v>1716</v>
      </c>
      <c r="BU224" t="s">
        <v>1717</v>
      </c>
      <c r="CA224">
        <v>-1</v>
      </c>
      <c r="CB224">
        <v>90</v>
      </c>
    </row>
    <row r="225" spans="1:80" x14ac:dyDescent="0.25">
      <c r="B225" s="39">
        <v>36</v>
      </c>
      <c r="C225" s="20"/>
      <c r="E225" s="40" t="s">
        <v>1718</v>
      </c>
      <c r="H225" s="16"/>
      <c r="I225" s="16"/>
      <c r="J225" s="16" t="s">
        <v>1719</v>
      </c>
      <c r="K225" s="21"/>
      <c r="L225" s="16"/>
      <c r="M225" s="16"/>
      <c r="N225" s="21"/>
      <c r="O225" s="16"/>
      <c r="P225" s="16" t="s">
        <v>296</v>
      </c>
      <c r="Q225" s="16"/>
      <c r="R225" s="1">
        <v>126</v>
      </c>
      <c r="S225" s="1" t="s">
        <v>1652</v>
      </c>
      <c r="T225" s="1" t="s">
        <v>1712</v>
      </c>
      <c r="V225" t="s">
        <v>285</v>
      </c>
      <c r="W225" s="16" t="s">
        <v>1720</v>
      </c>
      <c r="Y225" s="27" t="s">
        <v>1719</v>
      </c>
      <c r="AH225" t="s">
        <v>955</v>
      </c>
      <c r="AI225" t="s">
        <v>955</v>
      </c>
      <c r="AJ225" t="s">
        <v>955</v>
      </c>
      <c r="AK225" t="s">
        <v>955</v>
      </c>
      <c r="AN225" s="4" t="s">
        <v>1241</v>
      </c>
      <c r="AP225" t="s">
        <v>1721</v>
      </c>
      <c r="AQ225" t="s">
        <v>1721</v>
      </c>
      <c r="AR225" t="s">
        <v>1721</v>
      </c>
      <c r="AS225" t="s">
        <v>1721</v>
      </c>
      <c r="AT225" t="s">
        <v>1721</v>
      </c>
      <c r="AU225" t="s">
        <v>1721</v>
      </c>
      <c r="AV225" t="s">
        <v>1722</v>
      </c>
      <c r="AW225" t="s">
        <v>1723</v>
      </c>
      <c r="BF225" t="s">
        <v>617</v>
      </c>
      <c r="BM225" t="s">
        <v>1595</v>
      </c>
      <c r="BU225" t="s">
        <v>1549</v>
      </c>
      <c r="CA225">
        <v>-1</v>
      </c>
      <c r="CB225">
        <v>110</v>
      </c>
    </row>
    <row r="226" spans="1:80" x14ac:dyDescent="0.25">
      <c r="B226" s="39">
        <v>34</v>
      </c>
      <c r="C226" s="20"/>
      <c r="E226" s="40" t="s">
        <v>1724</v>
      </c>
      <c r="H226" s="16"/>
      <c r="I226" s="16"/>
      <c r="J226" s="16" t="s">
        <v>1725</v>
      </c>
      <c r="K226" s="21"/>
      <c r="L226" s="16"/>
      <c r="M226" s="16"/>
      <c r="N226" s="21"/>
      <c r="O226" s="16"/>
      <c r="P226" s="16" t="s">
        <v>296</v>
      </c>
      <c r="Q226" s="16"/>
      <c r="R226">
        <v>125</v>
      </c>
      <c r="S226" t="s">
        <v>1704</v>
      </c>
      <c r="T226" t="s">
        <v>1726</v>
      </c>
      <c r="V226" t="s">
        <v>285</v>
      </c>
      <c r="W226" s="16" t="s">
        <v>1727</v>
      </c>
      <c r="Y226" s="27" t="s">
        <v>1725</v>
      </c>
      <c r="AH226" t="s">
        <v>752</v>
      </c>
      <c r="AI226" t="s">
        <v>752</v>
      </c>
      <c r="AJ226" t="s">
        <v>752</v>
      </c>
      <c r="AK226" t="s">
        <v>752</v>
      </c>
      <c r="AN226" s="4" t="s">
        <v>1236</v>
      </c>
      <c r="AP226" t="s">
        <v>1728</v>
      </c>
      <c r="AQ226" t="s">
        <v>1728</v>
      </c>
      <c r="AR226" t="s">
        <v>1728</v>
      </c>
      <c r="AS226" t="s">
        <v>1728</v>
      </c>
      <c r="AT226" t="s">
        <v>1728</v>
      </c>
      <c r="AU226" t="s">
        <v>1728</v>
      </c>
      <c r="AV226" t="s">
        <v>1729</v>
      </c>
      <c r="AW226" t="s">
        <v>1730</v>
      </c>
      <c r="BD226" t="s">
        <v>661</v>
      </c>
      <c r="BF226" t="s">
        <v>625</v>
      </c>
      <c r="BM226" t="s">
        <v>1591</v>
      </c>
      <c r="BU226" t="s">
        <v>1565</v>
      </c>
      <c r="CA226">
        <v>-1</v>
      </c>
      <c r="CB226">
        <v>79</v>
      </c>
    </row>
    <row r="227" spans="1:80" x14ac:dyDescent="0.25">
      <c r="B227">
        <v>40</v>
      </c>
      <c r="C227" s="20"/>
      <c r="E227" t="s">
        <v>1731</v>
      </c>
      <c r="J227" s="16"/>
      <c r="K227" s="21"/>
      <c r="L227" s="16"/>
      <c r="M227" s="16"/>
      <c r="N227" s="21"/>
      <c r="O227" s="16"/>
      <c r="P227" s="16"/>
      <c r="Q227" s="16"/>
      <c r="R227">
        <v>124</v>
      </c>
      <c r="S227" t="s">
        <v>1732</v>
      </c>
      <c r="T227" t="s">
        <v>1732</v>
      </c>
      <c r="V227" t="s">
        <v>285</v>
      </c>
      <c r="W227" s="16" t="s">
        <v>1733</v>
      </c>
      <c r="Y227" t="s">
        <v>1323</v>
      </c>
      <c r="AO227" t="s">
        <v>461</v>
      </c>
      <c r="AQ227" t="s">
        <v>1734</v>
      </c>
      <c r="BD227" t="s">
        <v>675</v>
      </c>
      <c r="BM227" t="s">
        <v>770</v>
      </c>
      <c r="BQ227" t="s">
        <v>1323</v>
      </c>
      <c r="BR227" t="s">
        <v>1323</v>
      </c>
      <c r="BS227" t="s">
        <v>1323</v>
      </c>
      <c r="BT227" t="s">
        <v>1323</v>
      </c>
      <c r="BU227" t="s">
        <v>1323</v>
      </c>
      <c r="CA227">
        <v>-1</v>
      </c>
      <c r="CB227">
        <v>113</v>
      </c>
    </row>
    <row r="228" spans="1:80" x14ac:dyDescent="0.25">
      <c r="B228" s="30"/>
      <c r="C228" s="30"/>
      <c r="D228" s="30"/>
      <c r="E228" s="27" t="s">
        <v>1735</v>
      </c>
      <c r="J228" s="16" t="s">
        <v>436</v>
      </c>
      <c r="K228" s="21"/>
      <c r="L228" s="16"/>
      <c r="M228" s="16"/>
      <c r="N228" s="21"/>
      <c r="O228" s="16"/>
      <c r="P228" s="16" t="s">
        <v>296</v>
      </c>
      <c r="Q228" s="16"/>
      <c r="R228">
        <v>123</v>
      </c>
      <c r="S228" t="s">
        <v>938</v>
      </c>
      <c r="T228" t="s">
        <v>930</v>
      </c>
      <c r="V228" t="s">
        <v>285</v>
      </c>
      <c r="W228" s="16" t="s">
        <v>1736</v>
      </c>
      <c r="X228" t="s">
        <v>436</v>
      </c>
      <c r="Y228" s="27" t="s">
        <v>436</v>
      </c>
      <c r="AO228" t="s">
        <v>472</v>
      </c>
      <c r="AR228" t="s">
        <v>1737</v>
      </c>
      <c r="AS228" t="s">
        <v>1737</v>
      </c>
      <c r="AT228" t="s">
        <v>934</v>
      </c>
      <c r="AV228" t="s">
        <v>1737</v>
      </c>
      <c r="BE228" t="s">
        <v>214</v>
      </c>
      <c r="BF228" t="s">
        <v>1738</v>
      </c>
      <c r="BM228" t="s">
        <v>1673</v>
      </c>
      <c r="BQ228" t="s">
        <v>436</v>
      </c>
      <c r="BR228" t="s">
        <v>1070</v>
      </c>
      <c r="BS228" t="s">
        <v>436</v>
      </c>
      <c r="BT228" t="s">
        <v>436</v>
      </c>
      <c r="BU228" t="s">
        <v>436</v>
      </c>
      <c r="CA228">
        <v>-1</v>
      </c>
      <c r="CB228">
        <v>116</v>
      </c>
    </row>
    <row r="229" spans="1:80" x14ac:dyDescent="0.25">
      <c r="B229">
        <v>63</v>
      </c>
      <c r="C229" s="20"/>
      <c r="E229" s="22" t="s">
        <v>1739</v>
      </c>
      <c r="J229" s="16" t="s">
        <v>1740</v>
      </c>
      <c r="K229" s="21"/>
      <c r="L229" s="16"/>
      <c r="M229" s="16"/>
      <c r="N229" s="21"/>
      <c r="O229" s="16"/>
      <c r="P229" s="16" t="s">
        <v>296</v>
      </c>
      <c r="Q229" s="16"/>
      <c r="R229"/>
      <c r="S229"/>
      <c r="T229" t="s">
        <v>1741</v>
      </c>
      <c r="V229" t="s">
        <v>285</v>
      </c>
      <c r="W229" s="16" t="s">
        <v>1742</v>
      </c>
      <c r="AI229" s="10" t="s">
        <v>1743</v>
      </c>
      <c r="AR229" t="s">
        <v>1744</v>
      </c>
      <c r="AS229" t="s">
        <v>1744</v>
      </c>
      <c r="AT229" t="s">
        <v>252</v>
      </c>
      <c r="AV229" t="s">
        <v>1744</v>
      </c>
      <c r="BB229" s="29" t="s">
        <v>1745</v>
      </c>
      <c r="BF229" t="s">
        <v>1746</v>
      </c>
      <c r="BM229" t="s">
        <v>1405</v>
      </c>
      <c r="CA229">
        <v>-1</v>
      </c>
      <c r="CB229">
        <v>23</v>
      </c>
    </row>
    <row r="230" spans="1:80" x14ac:dyDescent="0.25">
      <c r="B230">
        <v>61</v>
      </c>
      <c r="C230" s="20"/>
      <c r="E230" s="22" t="s">
        <v>1747</v>
      </c>
      <c r="J230" s="16" t="s">
        <v>1748</v>
      </c>
      <c r="K230" s="21"/>
      <c r="L230" s="16"/>
      <c r="M230" s="16"/>
      <c r="N230" s="21"/>
      <c r="O230" s="16"/>
      <c r="P230" s="16" t="s">
        <v>296</v>
      </c>
      <c r="Q230" s="16"/>
      <c r="R230"/>
      <c r="S230"/>
      <c r="T230" t="s">
        <v>1749</v>
      </c>
      <c r="V230" t="s">
        <v>285</v>
      </c>
      <c r="W230" s="16" t="s">
        <v>1750</v>
      </c>
      <c r="AI230" s="10" t="s">
        <v>1751</v>
      </c>
      <c r="AP230" t="s">
        <v>1752</v>
      </c>
      <c r="AQ230" t="s">
        <v>1752</v>
      </c>
      <c r="AR230" t="s">
        <v>1752</v>
      </c>
      <c r="AS230" t="s">
        <v>1752</v>
      </c>
      <c r="AT230" t="s">
        <v>1752</v>
      </c>
      <c r="AU230" t="s">
        <v>1752</v>
      </c>
      <c r="AV230" t="s">
        <v>1753</v>
      </c>
      <c r="AW230" t="s">
        <v>1754</v>
      </c>
      <c r="BB230" s="29" t="s">
        <v>1755</v>
      </c>
      <c r="BF230" t="s">
        <v>1756</v>
      </c>
      <c r="BM230" t="s">
        <v>1414</v>
      </c>
      <c r="CA230">
        <v>-1</v>
      </c>
      <c r="CB230">
        <v>24</v>
      </c>
    </row>
    <row r="231" spans="1:80" x14ac:dyDescent="0.25">
      <c r="B231">
        <v>59</v>
      </c>
      <c r="C231" s="20"/>
      <c r="E231" s="22" t="s">
        <v>1757</v>
      </c>
      <c r="J231" s="16" t="s">
        <v>1758</v>
      </c>
      <c r="K231" s="21"/>
      <c r="L231" s="16"/>
      <c r="M231" s="16"/>
      <c r="N231" s="21"/>
      <c r="O231" s="16"/>
      <c r="P231" s="16" t="s">
        <v>296</v>
      </c>
      <c r="Q231" s="16"/>
      <c r="R231"/>
      <c r="S231"/>
      <c r="T231" t="s">
        <v>1548</v>
      </c>
      <c r="V231" t="s">
        <v>285</v>
      </c>
      <c r="W231" s="16" t="s">
        <v>1759</v>
      </c>
      <c r="Z231" s="3" t="s">
        <v>840</v>
      </c>
      <c r="AI231" s="10" t="s">
        <v>1760</v>
      </c>
      <c r="AP231" t="s">
        <v>1761</v>
      </c>
      <c r="AQ231" t="s">
        <v>1761</v>
      </c>
      <c r="AR231" t="s">
        <v>1761</v>
      </c>
      <c r="AS231" t="s">
        <v>1761</v>
      </c>
      <c r="AT231" t="s">
        <v>1761</v>
      </c>
      <c r="AU231" t="s">
        <v>1761</v>
      </c>
      <c r="AV231" t="s">
        <v>1762</v>
      </c>
      <c r="AW231" t="s">
        <v>1763</v>
      </c>
      <c r="BB231" s="29" t="s">
        <v>1758</v>
      </c>
      <c r="BF231" t="s">
        <v>1764</v>
      </c>
      <c r="BM231" t="s">
        <v>1414</v>
      </c>
      <c r="CA231">
        <v>-1</v>
      </c>
      <c r="CB231">
        <v>39</v>
      </c>
    </row>
    <row r="232" spans="1:80" x14ac:dyDescent="0.25">
      <c r="B232">
        <v>57</v>
      </c>
      <c r="C232" s="20"/>
      <c r="E232" s="22" t="s">
        <v>1765</v>
      </c>
      <c r="J232" s="16" t="s">
        <v>1766</v>
      </c>
      <c r="K232" s="21"/>
      <c r="L232" s="16"/>
      <c r="M232" s="16"/>
      <c r="N232" s="21"/>
      <c r="O232" s="16"/>
      <c r="P232" s="16" t="s">
        <v>296</v>
      </c>
      <c r="Q232" s="16"/>
      <c r="R232"/>
      <c r="S232"/>
      <c r="T232" t="s">
        <v>1538</v>
      </c>
      <c r="V232" t="s">
        <v>285</v>
      </c>
      <c r="W232" s="16" t="s">
        <v>1767</v>
      </c>
      <c r="Z232" s="3" t="s">
        <v>1768</v>
      </c>
      <c r="AI232" s="10" t="s">
        <v>1769</v>
      </c>
      <c r="AQ232" t="s">
        <v>1770</v>
      </c>
      <c r="AS232" t="s">
        <v>1770</v>
      </c>
      <c r="AT232" t="s">
        <v>252</v>
      </c>
      <c r="AV232" t="s">
        <v>1771</v>
      </c>
      <c r="BB232" s="29" t="s">
        <v>1772</v>
      </c>
      <c r="BF232" t="s">
        <v>1773</v>
      </c>
      <c r="BM232" t="s">
        <v>1438</v>
      </c>
      <c r="CA232">
        <v>-1</v>
      </c>
      <c r="CB232">
        <v>38</v>
      </c>
    </row>
    <row r="233" spans="1:80" x14ac:dyDescent="0.25">
      <c r="B233">
        <v>55</v>
      </c>
      <c r="C233" s="20"/>
      <c r="E233" s="22" t="s">
        <v>1774</v>
      </c>
      <c r="J233" s="16" t="s">
        <v>1775</v>
      </c>
      <c r="K233" s="21"/>
      <c r="L233" s="16"/>
      <c r="M233" s="16"/>
      <c r="N233" s="21"/>
      <c r="O233" s="16"/>
      <c r="P233" s="16" t="s">
        <v>173</v>
      </c>
      <c r="Q233" s="16"/>
      <c r="R233"/>
      <c r="S233"/>
      <c r="T233" t="s">
        <v>1776</v>
      </c>
      <c r="V233" t="s">
        <v>285</v>
      </c>
      <c r="W233" s="16" t="s">
        <v>1777</v>
      </c>
      <c r="Z233" s="3" t="s">
        <v>822</v>
      </c>
      <c r="AI233" s="10" t="s">
        <v>1778</v>
      </c>
      <c r="AQ233" t="s">
        <v>1779</v>
      </c>
      <c r="BB233" s="29" t="s">
        <v>1775</v>
      </c>
      <c r="BF233" t="s">
        <v>1780</v>
      </c>
      <c r="BM233" t="s">
        <v>1447</v>
      </c>
      <c r="CA233">
        <v>-1</v>
      </c>
      <c r="CB233">
        <v>40</v>
      </c>
    </row>
    <row r="234" spans="1:80" x14ac:dyDescent="0.25">
      <c r="B234">
        <v>69</v>
      </c>
      <c r="C234" s="20"/>
      <c r="J234" s="16"/>
      <c r="K234" s="21"/>
      <c r="L234" s="16"/>
      <c r="M234" s="16"/>
      <c r="N234" s="21"/>
      <c r="O234" s="16"/>
      <c r="P234" s="16"/>
      <c r="Q234" s="16"/>
      <c r="R234"/>
      <c r="S234"/>
      <c r="T234" t="s">
        <v>1781</v>
      </c>
      <c r="V234" t="s">
        <v>285</v>
      </c>
      <c r="W234" s="16" t="s">
        <v>1782</v>
      </c>
      <c r="Z234" s="3" t="s">
        <v>811</v>
      </c>
      <c r="AI234" s="10" t="s">
        <v>1783</v>
      </c>
      <c r="BB234" t="s">
        <v>590</v>
      </c>
      <c r="BF234" t="s">
        <v>1784</v>
      </c>
      <c r="BM234" t="s">
        <v>1455</v>
      </c>
      <c r="CA234">
        <v>-1</v>
      </c>
      <c r="CB234">
        <v>41</v>
      </c>
    </row>
    <row r="235" spans="1:80" x14ac:dyDescent="0.25">
      <c r="B235">
        <v>67</v>
      </c>
      <c r="C235" s="20"/>
      <c r="E235" s="22" t="s">
        <v>1785</v>
      </c>
      <c r="J235" s="16" t="s">
        <v>602</v>
      </c>
      <c r="K235" s="21"/>
      <c r="L235" s="16"/>
      <c r="M235" s="16" t="s">
        <v>283</v>
      </c>
      <c r="N235" s="21"/>
      <c r="O235" s="16"/>
      <c r="P235" s="16"/>
      <c r="Q235" s="16"/>
      <c r="R235"/>
      <c r="S235"/>
      <c r="T235" t="s">
        <v>1101</v>
      </c>
      <c r="V235" t="s">
        <v>285</v>
      </c>
      <c r="W235" s="16" t="s">
        <v>1786</v>
      </c>
      <c r="Z235" s="3" t="s">
        <v>784</v>
      </c>
      <c r="AI235" s="10" t="s">
        <v>1787</v>
      </c>
      <c r="BB235" s="22" t="s">
        <v>602</v>
      </c>
      <c r="BF235" t="s">
        <v>447</v>
      </c>
      <c r="BM235" t="s">
        <v>218</v>
      </c>
      <c r="CA235">
        <v>-1</v>
      </c>
      <c r="CB235">
        <v>72</v>
      </c>
    </row>
    <row r="236" spans="1:80" s="43" customFormat="1" ht="5.25" customHeight="1" x14ac:dyDescent="0.25">
      <c r="A236"/>
      <c r="K236" s="44"/>
      <c r="N236" s="44"/>
      <c r="R236" s="45"/>
      <c r="S236" s="45"/>
      <c r="T236" s="45"/>
      <c r="Z236" s="46"/>
      <c r="AA236" s="47"/>
      <c r="AB236" s="48"/>
      <c r="AC236" s="48"/>
      <c r="AD236" s="46"/>
      <c r="AE236" s="46"/>
      <c r="AF236" s="46"/>
      <c r="AM236" s="47"/>
      <c r="AN236" s="47"/>
    </row>
    <row r="237" spans="1:80" x14ac:dyDescent="0.25">
      <c r="B237">
        <v>23</v>
      </c>
      <c r="C237" s="20"/>
      <c r="E237" t="s">
        <v>1788</v>
      </c>
    </row>
    <row r="238" spans="1:80" x14ac:dyDescent="0.25">
      <c r="B238">
        <v>21</v>
      </c>
      <c r="C238" s="20"/>
      <c r="D238">
        <v>2</v>
      </c>
      <c r="E238" t="s">
        <v>1789</v>
      </c>
    </row>
    <row r="239" spans="1:80" x14ac:dyDescent="0.25">
      <c r="B239">
        <v>32</v>
      </c>
      <c r="C239" s="20"/>
      <c r="D239">
        <v>4</v>
      </c>
      <c r="E239" t="s">
        <v>1789</v>
      </c>
      <c r="F239" s="38"/>
      <c r="G239" t="s">
        <v>1790</v>
      </c>
    </row>
    <row r="240" spans="1:80" x14ac:dyDescent="0.25">
      <c r="B240">
        <v>41</v>
      </c>
      <c r="C240" s="20"/>
      <c r="E240" t="s">
        <v>1789</v>
      </c>
      <c r="F240" s="40"/>
      <c r="G240" t="s">
        <v>1791</v>
      </c>
    </row>
    <row r="241" spans="2:7" x14ac:dyDescent="0.25">
      <c r="B241">
        <v>48</v>
      </c>
      <c r="C241" s="20"/>
      <c r="E241" t="s">
        <v>1789</v>
      </c>
      <c r="F241" s="49"/>
      <c r="G241" t="s">
        <v>1792</v>
      </c>
    </row>
    <row r="242" spans="2:7" x14ac:dyDescent="0.25">
      <c r="B242">
        <v>53</v>
      </c>
      <c r="C242" s="20"/>
      <c r="E242" t="s">
        <v>1793</v>
      </c>
    </row>
    <row r="243" spans="2:7" x14ac:dyDescent="0.25">
      <c r="B243">
        <v>64</v>
      </c>
      <c r="C243" s="20"/>
      <c r="E243" t="s">
        <v>1793</v>
      </c>
    </row>
    <row r="244" spans="2:7" x14ac:dyDescent="0.25">
      <c r="B244">
        <v>72</v>
      </c>
      <c r="C244" s="20"/>
      <c r="E244" t="s">
        <v>285</v>
      </c>
    </row>
    <row r="245" spans="2:7" x14ac:dyDescent="0.25">
      <c r="B245">
        <v>73</v>
      </c>
      <c r="C245" s="20"/>
      <c r="E245" t="s">
        <v>1794</v>
      </c>
    </row>
    <row r="246" spans="2:7" x14ac:dyDescent="0.25">
      <c r="C246" s="20">
        <v>69</v>
      </c>
      <c r="E246" t="s">
        <v>92</v>
      </c>
    </row>
    <row r="247" spans="2:7" x14ac:dyDescent="0.25">
      <c r="C247" s="20">
        <v>71</v>
      </c>
      <c r="E247" t="s">
        <v>1795</v>
      </c>
    </row>
    <row r="248" spans="2:7" x14ac:dyDescent="0.25">
      <c r="C248" s="20">
        <v>70</v>
      </c>
      <c r="E248" t="s">
        <v>1796</v>
      </c>
    </row>
    <row r="249" spans="2:7" x14ac:dyDescent="0.25">
      <c r="C249" s="20">
        <v>72</v>
      </c>
      <c r="E249" t="s">
        <v>1797</v>
      </c>
    </row>
    <row r="250" spans="2:7" x14ac:dyDescent="0.25">
      <c r="C250" s="20">
        <v>7</v>
      </c>
      <c r="E250" t="s">
        <v>1798</v>
      </c>
    </row>
    <row r="251" spans="2:7" x14ac:dyDescent="0.25">
      <c r="C251" s="20">
        <v>23</v>
      </c>
      <c r="D251">
        <v>23</v>
      </c>
      <c r="E251" t="s">
        <v>285</v>
      </c>
    </row>
    <row r="252" spans="2:7" x14ac:dyDescent="0.25">
      <c r="C252" s="20">
        <v>34</v>
      </c>
      <c r="D252">
        <v>48</v>
      </c>
      <c r="E252" t="s">
        <v>285</v>
      </c>
    </row>
    <row r="253" spans="2:7" x14ac:dyDescent="0.25">
      <c r="C253" s="20"/>
      <c r="E253" t="s">
        <v>285</v>
      </c>
    </row>
    <row r="254" spans="2:7" x14ac:dyDescent="0.25">
      <c r="C254" s="20">
        <v>43</v>
      </c>
      <c r="E254" t="s">
        <v>176</v>
      </c>
    </row>
    <row r="255" spans="2:7" x14ac:dyDescent="0.25">
      <c r="C255" s="20"/>
      <c r="D255">
        <v>5</v>
      </c>
      <c r="E255" t="s">
        <v>1799</v>
      </c>
    </row>
    <row r="256" spans="2:7" x14ac:dyDescent="0.25">
      <c r="C256" s="20"/>
      <c r="D256">
        <v>6</v>
      </c>
      <c r="E256" t="s">
        <v>1800</v>
      </c>
    </row>
    <row r="257" spans="2:5" x14ac:dyDescent="0.25">
      <c r="C257" s="20"/>
      <c r="D257">
        <v>7</v>
      </c>
      <c r="E257" t="s">
        <v>1801</v>
      </c>
    </row>
    <row r="258" spans="2:5" x14ac:dyDescent="0.25">
      <c r="C258" s="20"/>
      <c r="D258">
        <v>9</v>
      </c>
      <c r="E258" t="s">
        <v>1801</v>
      </c>
    </row>
    <row r="259" spans="2:5" x14ac:dyDescent="0.25">
      <c r="C259" s="20"/>
      <c r="D259">
        <v>10</v>
      </c>
      <c r="E259" t="s">
        <v>1801</v>
      </c>
    </row>
    <row r="260" spans="2:5" x14ac:dyDescent="0.25">
      <c r="C260" s="20"/>
      <c r="D260">
        <v>12</v>
      </c>
      <c r="E260" t="s">
        <v>1801</v>
      </c>
    </row>
    <row r="261" spans="2:5" x14ac:dyDescent="0.25">
      <c r="C261" s="20"/>
    </row>
    <row r="262" spans="2:5" x14ac:dyDescent="0.25">
      <c r="B262">
        <v>22</v>
      </c>
      <c r="C262" s="20"/>
      <c r="D262">
        <v>1</v>
      </c>
      <c r="E262" t="s">
        <v>1802</v>
      </c>
    </row>
    <row r="263" spans="2:5" x14ac:dyDescent="0.25">
      <c r="B263">
        <v>31</v>
      </c>
      <c r="C263" s="20"/>
      <c r="D263">
        <v>3</v>
      </c>
      <c r="E263" t="s">
        <v>1802</v>
      </c>
    </row>
    <row r="264" spans="2:5" x14ac:dyDescent="0.25">
      <c r="B264">
        <v>42</v>
      </c>
      <c r="C264" s="20"/>
      <c r="E264" t="s">
        <v>1802</v>
      </c>
    </row>
    <row r="265" spans="2:5" x14ac:dyDescent="0.25">
      <c r="B265">
        <v>47</v>
      </c>
      <c r="C265" s="20"/>
      <c r="E265" t="s">
        <v>1802</v>
      </c>
    </row>
    <row r="266" spans="2:5" x14ac:dyDescent="0.25">
      <c r="B266">
        <v>54</v>
      </c>
      <c r="C266" s="20"/>
      <c r="E266" t="s">
        <v>1802</v>
      </c>
    </row>
    <row r="267" spans="2:5" x14ac:dyDescent="0.25">
      <c r="C267" s="20">
        <v>24</v>
      </c>
      <c r="D267">
        <v>8</v>
      </c>
      <c r="E267" t="s">
        <v>1803</v>
      </c>
    </row>
    <row r="268" spans="2:5" x14ac:dyDescent="0.25">
      <c r="C268" s="20">
        <v>33</v>
      </c>
      <c r="D268">
        <v>11</v>
      </c>
      <c r="E268" t="s">
        <v>1803</v>
      </c>
    </row>
    <row r="269" spans="2:5" x14ac:dyDescent="0.25">
      <c r="C269" s="20">
        <v>44</v>
      </c>
      <c r="D269">
        <v>24</v>
      </c>
      <c r="E269" t="s">
        <v>1803</v>
      </c>
    </row>
    <row r="270" spans="2:5" x14ac:dyDescent="0.25">
      <c r="C270" s="20">
        <v>57</v>
      </c>
      <c r="D270">
        <v>47</v>
      </c>
      <c r="E270" t="s">
        <v>1803</v>
      </c>
    </row>
    <row r="271" spans="2:5" x14ac:dyDescent="0.25">
      <c r="C271" s="20"/>
    </row>
    <row r="272" spans="2:5" x14ac:dyDescent="0.25">
      <c r="C272" s="20"/>
      <c r="D272">
        <v>25</v>
      </c>
      <c r="E272" t="s">
        <v>1803</v>
      </c>
    </row>
    <row r="273" spans="3:5" x14ac:dyDescent="0.25">
      <c r="C273" s="20"/>
      <c r="D273">
        <v>26</v>
      </c>
      <c r="E273" t="s">
        <v>1803</v>
      </c>
    </row>
    <row r="274" spans="3:5" x14ac:dyDescent="0.25">
      <c r="C274" s="20"/>
      <c r="D274">
        <v>29</v>
      </c>
      <c r="E274" t="s">
        <v>1803</v>
      </c>
    </row>
    <row r="275" spans="3:5" x14ac:dyDescent="0.25">
      <c r="C275" s="20"/>
      <c r="D275">
        <v>30</v>
      </c>
      <c r="E275" t="s">
        <v>1803</v>
      </c>
    </row>
    <row r="276" spans="3:5" x14ac:dyDescent="0.25">
      <c r="C276" s="20"/>
      <c r="D276">
        <v>33</v>
      </c>
      <c r="E276" t="s">
        <v>1803</v>
      </c>
    </row>
    <row r="277" spans="3:5" x14ac:dyDescent="0.25">
      <c r="C277" s="20"/>
      <c r="D277">
        <v>34</v>
      </c>
      <c r="E277" t="s">
        <v>1803</v>
      </c>
    </row>
    <row r="278" spans="3:5" x14ac:dyDescent="0.25">
      <c r="C278" s="20"/>
      <c r="D278">
        <v>49</v>
      </c>
      <c r="E278" t="s">
        <v>1803</v>
      </c>
    </row>
    <row r="279" spans="3:5" x14ac:dyDescent="0.25">
      <c r="C279" s="20"/>
      <c r="D279">
        <v>50</v>
      </c>
      <c r="E279" t="s">
        <v>1803</v>
      </c>
    </row>
    <row r="280" spans="3:5" x14ac:dyDescent="0.25">
      <c r="C280" s="20"/>
      <c r="D280">
        <v>53</v>
      </c>
      <c r="E280" t="s">
        <v>1803</v>
      </c>
    </row>
    <row r="281" spans="3:5" x14ac:dyDescent="0.25">
      <c r="C281" s="20"/>
      <c r="D281">
        <v>54</v>
      </c>
      <c r="E281" t="s">
        <v>1803</v>
      </c>
    </row>
    <row r="282" spans="3:5" x14ac:dyDescent="0.25">
      <c r="C282" s="20"/>
      <c r="D282">
        <v>57</v>
      </c>
      <c r="E282" t="s">
        <v>1803</v>
      </c>
    </row>
    <row r="283" spans="3:5" x14ac:dyDescent="0.25">
      <c r="C283" s="20"/>
      <c r="D283">
        <v>58</v>
      </c>
      <c r="E283" t="s">
        <v>1803</v>
      </c>
    </row>
    <row r="284" spans="3:5" x14ac:dyDescent="0.25">
      <c r="C284" s="20"/>
      <c r="D284">
        <v>61</v>
      </c>
      <c r="E284" t="s">
        <v>1803</v>
      </c>
    </row>
    <row r="285" spans="3:5" x14ac:dyDescent="0.25">
      <c r="C285" s="20"/>
      <c r="D285">
        <v>62</v>
      </c>
      <c r="E285" t="s">
        <v>1803</v>
      </c>
    </row>
    <row r="286" spans="3:5" x14ac:dyDescent="0.25">
      <c r="C286" s="20"/>
      <c r="D286">
        <v>75</v>
      </c>
      <c r="E286" t="s">
        <v>1803</v>
      </c>
    </row>
    <row r="287" spans="3:5" x14ac:dyDescent="0.25">
      <c r="C287" s="20"/>
      <c r="D287">
        <v>76</v>
      </c>
      <c r="E287" t="s">
        <v>1803</v>
      </c>
    </row>
    <row r="288" spans="3:5" x14ac:dyDescent="0.25">
      <c r="C288" s="20"/>
      <c r="D288">
        <v>79</v>
      </c>
      <c r="E288" t="s">
        <v>1803</v>
      </c>
    </row>
    <row r="289" spans="3:5" x14ac:dyDescent="0.25">
      <c r="C289" s="20"/>
      <c r="D289">
        <v>80</v>
      </c>
      <c r="E289" t="s">
        <v>1803</v>
      </c>
    </row>
    <row r="290" spans="3:5" x14ac:dyDescent="0.25">
      <c r="C290" s="20"/>
      <c r="D290">
        <v>28</v>
      </c>
      <c r="E290" t="s">
        <v>1804</v>
      </c>
    </row>
    <row r="291" spans="3:5" x14ac:dyDescent="0.25">
      <c r="C291" s="20"/>
      <c r="D291">
        <v>32</v>
      </c>
      <c r="E291" t="s">
        <v>1805</v>
      </c>
    </row>
    <row r="292" spans="3:5" x14ac:dyDescent="0.25">
      <c r="C292" s="20"/>
      <c r="D292">
        <v>52</v>
      </c>
      <c r="E292" t="s">
        <v>1806</v>
      </c>
    </row>
    <row r="293" spans="3:5" x14ac:dyDescent="0.25">
      <c r="C293" s="20"/>
      <c r="D293">
        <v>56</v>
      </c>
      <c r="E293" t="s">
        <v>1807</v>
      </c>
    </row>
    <row r="294" spans="3:5" x14ac:dyDescent="0.25">
      <c r="C294" s="20"/>
      <c r="D294">
        <v>60</v>
      </c>
      <c r="E294" t="s">
        <v>1808</v>
      </c>
    </row>
    <row r="295" spans="3:5" x14ac:dyDescent="0.25">
      <c r="C295" s="20"/>
      <c r="D295">
        <v>78</v>
      </c>
      <c r="E295" t="s">
        <v>1809</v>
      </c>
    </row>
    <row r="296" spans="3:5" x14ac:dyDescent="0.25">
      <c r="C296" s="20"/>
    </row>
    <row r="297" spans="3:5" x14ac:dyDescent="0.25">
      <c r="C297" s="20"/>
      <c r="D297">
        <v>13</v>
      </c>
      <c r="E297" t="s">
        <v>1810</v>
      </c>
    </row>
    <row r="298" spans="3:5" x14ac:dyDescent="0.25">
      <c r="C298" s="20"/>
      <c r="D298">
        <v>14</v>
      </c>
      <c r="E298" t="s">
        <v>285</v>
      </c>
    </row>
    <row r="299" spans="3:5" x14ac:dyDescent="0.25">
      <c r="C299" s="20"/>
      <c r="D299">
        <v>15</v>
      </c>
      <c r="E299" t="s">
        <v>1811</v>
      </c>
    </row>
    <row r="300" spans="3:5" x14ac:dyDescent="0.25">
      <c r="C300" s="20"/>
      <c r="D300">
        <v>16</v>
      </c>
      <c r="E300" t="s">
        <v>1812</v>
      </c>
    </row>
    <row r="301" spans="3:5" x14ac:dyDescent="0.25">
      <c r="C301" s="20"/>
      <c r="D301">
        <v>17</v>
      </c>
      <c r="E301" t="s">
        <v>1813</v>
      </c>
    </row>
    <row r="302" spans="3:5" x14ac:dyDescent="0.25">
      <c r="C302" s="20"/>
      <c r="D302">
        <v>18</v>
      </c>
      <c r="E302" t="s">
        <v>1814</v>
      </c>
    </row>
    <row r="303" spans="3:5" x14ac:dyDescent="0.25">
      <c r="C303" s="20"/>
      <c r="D303">
        <v>19</v>
      </c>
      <c r="E303" t="s">
        <v>1815</v>
      </c>
    </row>
    <row r="304" spans="3:5" x14ac:dyDescent="0.25">
      <c r="C304" s="20"/>
      <c r="D304">
        <v>20</v>
      </c>
      <c r="E304" t="s">
        <v>1816</v>
      </c>
    </row>
    <row r="305" spans="2:5" x14ac:dyDescent="0.25">
      <c r="C305" s="20"/>
      <c r="D305">
        <v>21</v>
      </c>
      <c r="E305" t="s">
        <v>1817</v>
      </c>
    </row>
    <row r="306" spans="2:5" x14ac:dyDescent="0.25">
      <c r="C306" s="20"/>
      <c r="D306">
        <v>22</v>
      </c>
      <c r="E306" t="s">
        <v>1818</v>
      </c>
    </row>
    <row r="307" spans="2:5" x14ac:dyDescent="0.25">
      <c r="B307">
        <v>3</v>
      </c>
      <c r="C307" s="20"/>
      <c r="E307" t="s">
        <v>1819</v>
      </c>
    </row>
    <row r="309" spans="2:5" x14ac:dyDescent="0.25">
      <c r="E309" s="1"/>
    </row>
    <row r="310" spans="2:5" x14ac:dyDescent="0.25">
      <c r="E310" s="1"/>
    </row>
    <row r="311" spans="2:5" x14ac:dyDescent="0.25">
      <c r="E311" s="1"/>
    </row>
    <row r="312" spans="2:5" x14ac:dyDescent="0.25">
      <c r="E312" s="1"/>
    </row>
    <row r="313" spans="2:5" x14ac:dyDescent="0.25">
      <c r="E313" s="1"/>
    </row>
    <row r="314" spans="2:5" x14ac:dyDescent="0.25">
      <c r="E314" s="1"/>
    </row>
    <row r="315" spans="2:5" x14ac:dyDescent="0.25">
      <c r="E315" s="1"/>
    </row>
    <row r="316" spans="2:5" x14ac:dyDescent="0.25">
      <c r="E316" s="1"/>
    </row>
  </sheetData>
  <autoFilter ref="A20:CB235" xr:uid="{F299FB19-F702-45D4-A454-27496AE17064}"/>
  <conditionalFormatting sqref="B21:B308">
    <cfRule type="duplicateValues" dxfId="7" priority="6"/>
  </conditionalFormatting>
  <conditionalFormatting sqref="C21:C245 C250:C308">
    <cfRule type="duplicateValues" dxfId="6" priority="7"/>
  </conditionalFormatting>
  <conditionalFormatting sqref="C246:C249">
    <cfRule type="duplicateValues" dxfId="5" priority="4"/>
  </conditionalFormatting>
  <conditionalFormatting sqref="D246:D249">
    <cfRule type="duplicateValues" dxfId="4" priority="5"/>
  </conditionalFormatting>
  <conditionalFormatting sqref="D250:D308 D21:D245">
    <cfRule type="duplicateValues" dxfId="3" priority="8"/>
  </conditionalFormatting>
  <conditionalFormatting sqref="E236">
    <cfRule type="duplicateValues" dxfId="2" priority="3"/>
  </conditionalFormatting>
  <conditionalFormatting sqref="I187">
    <cfRule type="duplicateValues" dxfId="1" priority="1"/>
    <cfRule type="duplicateValues" dxfId="0" priority="2"/>
  </conditionalFormatting>
  <dataValidations count="7">
    <dataValidation type="list" allowBlank="1" showInputMessage="1" showErrorMessage="1" sqref="N53:P53 N67:P68" xr:uid="{7FC1CC42-0F23-4CF3-8049-F8333377E96A}">
      <formula1>"N/A"</formula1>
    </dataValidation>
    <dataValidation type="list" allowBlank="1" showInputMessage="1" showErrorMessage="1" sqref="L53 L67:L68" xr:uid="{55F9EBB4-CDBD-4EC9-9668-4100F54B9419}">
      <formula1>"Input"</formula1>
    </dataValidation>
    <dataValidation type="list" allowBlank="1" showInputMessage="1" showErrorMessage="1" sqref="P21:P36 P54" xr:uid="{552F1FD9-06D7-4346-9C2B-5D7B840E7EA7}">
      <formula1>"L"</formula1>
    </dataValidation>
    <dataValidation type="list" allowBlank="1" showInputMessage="1" showErrorMessage="1" sqref="P37:P52 P55:P66 P69:P235" xr:uid="{83676715-BE9D-43F0-8400-F68BF8F5E8E7}">
      <formula1>"L,M,H,HH"</formula1>
    </dataValidation>
    <dataValidation type="list" allowBlank="1" showInputMessage="1" showErrorMessage="1" sqref="N21:N52 N54:N66 N69:N235" xr:uid="{593DE083-1C3A-4D90-AA03-B932CD3543A9}">
      <formula1>"Low,High"</formula1>
    </dataValidation>
    <dataValidation type="list" allowBlank="1" showInputMessage="1" showErrorMessage="1" sqref="O54:O66 O21:O52 O69:O235 M21:M235" xr:uid="{944A2408-0272-4182-BE8E-AFDD026DAB93}">
      <formula1>"Yes"</formula1>
    </dataValidation>
    <dataValidation type="list" allowBlank="1" showInputMessage="1" showErrorMessage="1" sqref="L21:L52 L54:L66 L69:L235" xr:uid="{86D6AD89-82A2-44EA-83BF-63FAEF15C332}">
      <formula1>"Input,Output"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CPKHMI-RA8P1_BSP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Wu</dc:creator>
  <cp:lastModifiedBy>Craig Wu</cp:lastModifiedBy>
  <dcterms:created xsi:type="dcterms:W3CDTF">2025-10-19T15:24:48Z</dcterms:created>
  <dcterms:modified xsi:type="dcterms:W3CDTF">2025-10-19T15:29:13Z</dcterms:modified>
</cp:coreProperties>
</file>